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8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 firstSheet="4" activeTab="11"/>
  </bookViews>
  <sheets>
    <sheet name="Day 1 basic" sheetId="1" r:id="rId1"/>
    <sheet name="Day 2 conditional formating" sheetId="2" r:id="rId2"/>
    <sheet name="Day 2 charts in excel" sheetId="3" r:id="rId3"/>
    <sheet name="Day 3 Charts Formating" sheetId="4" r:id="rId4"/>
    <sheet name="Sheet5" sheetId="5" r:id="rId5"/>
    <sheet name="Sheet6" sheetId="6" r:id="rId6"/>
    <sheet name="Sheet7 (2)" sheetId="8" r:id="rId7"/>
    <sheet name="Sheet7 (3)" sheetId="9" r:id="rId8"/>
    <sheet name="Sheet7" sheetId="7" state="hidden" r:id="rId9"/>
    <sheet name="Sheet10" sheetId="10" r:id="rId10"/>
    <sheet name="Day 4 Excel Formulas" sheetId="11" r:id="rId11"/>
    <sheet name="Day 5 (Excel Formulas)" sheetId="12" r:id="rId12"/>
  </sheets>
  <definedNames>
    <definedName name="_xlnm._FilterDatabase" localSheetId="1" hidden="1">'Day 2 conditional formating'!$C$38:$C$45</definedName>
    <definedName name="_xlnm._FilterDatabase" localSheetId="11" hidden="1">'Day 5 (Excel Formulas)'!$C$35:$C$43</definedName>
  </definedNames>
  <calcPr calcId="145621"/>
</workbook>
</file>

<file path=xl/calcChain.xml><?xml version="1.0" encoding="utf-8"?>
<calcChain xmlns="http://schemas.openxmlformats.org/spreadsheetml/2006/main">
  <c r="H54" i="12" l="1"/>
  <c r="H53" i="12"/>
  <c r="H52" i="12"/>
  <c r="B39" i="12"/>
  <c r="B38" i="12"/>
  <c r="B37" i="12"/>
  <c r="C55" i="12"/>
  <c r="D50" i="12"/>
  <c r="I37" i="12"/>
  <c r="I38" i="12"/>
  <c r="I39" i="12"/>
  <c r="I40" i="12"/>
  <c r="I41" i="12"/>
  <c r="I42" i="12"/>
  <c r="I43" i="12"/>
  <c r="I36" i="12"/>
  <c r="H37" i="12"/>
  <c r="H38" i="12"/>
  <c r="H39" i="12"/>
  <c r="H40" i="12"/>
  <c r="H41" i="12"/>
  <c r="H42" i="12"/>
  <c r="H43" i="12"/>
  <c r="H36" i="12"/>
  <c r="E37" i="12"/>
  <c r="E38" i="12"/>
  <c r="E39" i="12"/>
  <c r="E40" i="12"/>
  <c r="E41" i="12"/>
  <c r="E42" i="12"/>
  <c r="E43" i="12"/>
  <c r="E36" i="12"/>
  <c r="D37" i="12"/>
  <c r="D38" i="12"/>
  <c r="D39" i="12"/>
  <c r="D40" i="12"/>
  <c r="D41" i="12"/>
  <c r="D42" i="12"/>
  <c r="D43" i="12"/>
  <c r="D36" i="12"/>
  <c r="G37" i="12"/>
  <c r="G38" i="12"/>
  <c r="G39" i="12"/>
  <c r="G40" i="12"/>
  <c r="G41" i="12"/>
  <c r="G42" i="12"/>
  <c r="G43" i="12"/>
  <c r="G36" i="12"/>
  <c r="C46" i="12"/>
  <c r="C45" i="12"/>
  <c r="E32" i="12"/>
  <c r="G26" i="12"/>
  <c r="G25" i="12"/>
  <c r="J29" i="12"/>
  <c r="J28" i="12"/>
  <c r="H28" i="12"/>
  <c r="H32" i="12" s="1"/>
  <c r="C31" i="12"/>
  <c r="F30" i="12"/>
  <c r="C30" i="12"/>
  <c r="C28" i="12"/>
  <c r="C26" i="12"/>
  <c r="L17" i="12"/>
  <c r="K20" i="12"/>
  <c r="K21" i="12"/>
  <c r="K22" i="12"/>
  <c r="K23" i="12"/>
  <c r="K24" i="12"/>
  <c r="K19" i="12"/>
  <c r="K18" i="12"/>
  <c r="K17" i="12"/>
  <c r="J18" i="12"/>
  <c r="J19" i="12"/>
  <c r="J20" i="12"/>
  <c r="J21" i="12"/>
  <c r="J22" i="12"/>
  <c r="J23" i="12"/>
  <c r="J24" i="12"/>
  <c r="J17" i="12"/>
  <c r="I19" i="12"/>
  <c r="I20" i="12"/>
  <c r="I21" i="12"/>
  <c r="I22" i="12"/>
  <c r="I23" i="12"/>
  <c r="I24" i="12"/>
  <c r="I18" i="12"/>
  <c r="I17" i="12"/>
  <c r="J14" i="12"/>
  <c r="J13" i="12"/>
  <c r="J6" i="12"/>
  <c r="J7" i="12"/>
  <c r="J8" i="12"/>
  <c r="J9" i="12"/>
  <c r="J10" i="12"/>
  <c r="J11" i="12"/>
  <c r="J4" i="12"/>
  <c r="I5" i="12"/>
  <c r="I6" i="12"/>
  <c r="I7" i="12"/>
  <c r="I8" i="12"/>
  <c r="I9" i="12"/>
  <c r="I10" i="12"/>
  <c r="I11" i="12"/>
  <c r="I4" i="12"/>
  <c r="G55" i="11"/>
  <c r="K52" i="11"/>
  <c r="K51" i="11"/>
  <c r="J52" i="11"/>
  <c r="J51" i="11"/>
  <c r="I52" i="11"/>
  <c r="I51" i="11"/>
  <c r="F46" i="11"/>
  <c r="H36" i="11"/>
  <c r="H32" i="11"/>
  <c r="H30" i="11"/>
  <c r="H28" i="11"/>
  <c r="L20" i="11"/>
  <c r="L21" i="11"/>
  <c r="L22" i="11"/>
  <c r="L23" i="11"/>
  <c r="L24" i="11"/>
  <c r="L25" i="11"/>
  <c r="L26" i="11"/>
  <c r="L19" i="11"/>
  <c r="K21" i="11"/>
  <c r="K22" i="11"/>
  <c r="K25" i="11"/>
  <c r="K26" i="11"/>
  <c r="K20" i="11"/>
  <c r="J20" i="11"/>
  <c r="J21" i="11"/>
  <c r="J22" i="11"/>
  <c r="J23" i="11"/>
  <c r="K23" i="11" s="1"/>
  <c r="J25" i="11"/>
  <c r="J26" i="11"/>
  <c r="I20" i="11"/>
  <c r="I21" i="11"/>
  <c r="I22" i="11"/>
  <c r="I23" i="11"/>
  <c r="I24" i="11"/>
  <c r="J24" i="11" s="1"/>
  <c r="K24" i="11" s="1"/>
  <c r="I25" i="11"/>
  <c r="I26" i="11"/>
  <c r="I19" i="11"/>
  <c r="J19" i="11" s="1"/>
  <c r="K19" i="11" s="1"/>
  <c r="H20" i="11"/>
  <c r="H21" i="11"/>
  <c r="H22" i="11"/>
  <c r="H23" i="11"/>
  <c r="H24" i="11"/>
  <c r="H25" i="11"/>
  <c r="H26" i="11"/>
  <c r="H19" i="11"/>
  <c r="J17" i="11"/>
  <c r="J16" i="11"/>
  <c r="G11" i="11"/>
  <c r="H12" i="11"/>
  <c r="M7" i="11"/>
  <c r="M8" i="11"/>
  <c r="M9" i="11"/>
  <c r="M10" i="11"/>
  <c r="M4" i="11"/>
  <c r="M3" i="11"/>
  <c r="L4" i="11"/>
  <c r="L5" i="11"/>
  <c r="L6" i="11"/>
  <c r="L7" i="11"/>
  <c r="L8" i="11"/>
  <c r="L9" i="11"/>
  <c r="L10" i="11"/>
  <c r="L3" i="11"/>
  <c r="K8" i="11"/>
  <c r="K9" i="11"/>
  <c r="K10" i="11"/>
  <c r="K5" i="11"/>
  <c r="M5" i="11" s="1"/>
  <c r="K6" i="11"/>
  <c r="M6" i="11" s="1"/>
  <c r="K7" i="11"/>
  <c r="K4" i="11"/>
  <c r="K3" i="11"/>
  <c r="E44" i="1"/>
  <c r="D44" i="2"/>
  <c r="D45" i="2" s="1"/>
  <c r="E44" i="2"/>
  <c r="E45" i="2" s="1"/>
  <c r="F44" i="2"/>
  <c r="F45" i="2" s="1"/>
  <c r="H34" i="12" l="1"/>
  <c r="H33" i="12"/>
</calcChain>
</file>

<file path=xl/sharedStrings.xml><?xml version="1.0" encoding="utf-8"?>
<sst xmlns="http://schemas.openxmlformats.org/spreadsheetml/2006/main" count="508" uniqueCount="111">
  <si>
    <t>SR</t>
  </si>
  <si>
    <t>Name</t>
  </si>
  <si>
    <t>Address</t>
  </si>
  <si>
    <t>Python</t>
  </si>
  <si>
    <t>excel</t>
  </si>
  <si>
    <t>UI</t>
  </si>
  <si>
    <t>Mayur</t>
  </si>
  <si>
    <t>Pune</t>
  </si>
  <si>
    <t>Om</t>
  </si>
  <si>
    <t>kolhapur</t>
  </si>
  <si>
    <t>Partham</t>
  </si>
  <si>
    <t>Mumbai</t>
  </si>
  <si>
    <t>Saroj</t>
  </si>
  <si>
    <t>Avdhoot</t>
  </si>
  <si>
    <t>python</t>
  </si>
  <si>
    <t>Student Table</t>
  </si>
  <si>
    <t>Mail</t>
  </si>
  <si>
    <t>Mayur@gmail.com</t>
  </si>
  <si>
    <t>Short</t>
  </si>
  <si>
    <t>Dixit</t>
  </si>
  <si>
    <t>Column4</t>
  </si>
  <si>
    <t>Column5</t>
  </si>
  <si>
    <t>Total</t>
  </si>
  <si>
    <t>Add</t>
  </si>
  <si>
    <t>Excel</t>
  </si>
  <si>
    <t>Students Result Dashboard</t>
  </si>
  <si>
    <t xml:space="preserve">1.Arithmatical </t>
  </si>
  <si>
    <t>Sum</t>
  </si>
  <si>
    <t>Apeksha</t>
  </si>
  <si>
    <t>Dehli</t>
  </si>
  <si>
    <t>Urvshi</t>
  </si>
  <si>
    <t>avg</t>
  </si>
  <si>
    <t>Parcentage</t>
  </si>
  <si>
    <t>count</t>
  </si>
  <si>
    <t>counta</t>
  </si>
  <si>
    <t>#</t>
  </si>
  <si>
    <t>itp</t>
  </si>
  <si>
    <t>1.Sum</t>
  </si>
  <si>
    <t>2.Avg</t>
  </si>
  <si>
    <t>3.Parcentage</t>
  </si>
  <si>
    <t>4.count</t>
  </si>
  <si>
    <t>5.countA</t>
  </si>
  <si>
    <t>6.countblank</t>
  </si>
  <si>
    <t>countA</t>
  </si>
  <si>
    <t>CountBlank</t>
  </si>
  <si>
    <t>Len</t>
  </si>
  <si>
    <t>Upper</t>
  </si>
  <si>
    <t>Lower</t>
  </si>
  <si>
    <t>Proper</t>
  </si>
  <si>
    <t xml:space="preserve">      Mayur</t>
  </si>
  <si>
    <t xml:space="preserve">   Dixit</t>
  </si>
  <si>
    <t xml:space="preserve">  Saroj</t>
  </si>
  <si>
    <t xml:space="preserve">         Avdhoot</t>
  </si>
  <si>
    <t xml:space="preserve">      Apeksha</t>
  </si>
  <si>
    <t>Trim</t>
  </si>
  <si>
    <t xml:space="preserve">   Itpm          python</t>
  </si>
  <si>
    <t>1       2             4</t>
  </si>
  <si>
    <t>it     pm                python</t>
  </si>
  <si>
    <t>Last Name</t>
  </si>
  <si>
    <t>shahakar</t>
  </si>
  <si>
    <t>Full Name(concatinate)</t>
  </si>
  <si>
    <t>itpm python oct</t>
  </si>
  <si>
    <t>7.len</t>
  </si>
  <si>
    <t>8.lower</t>
  </si>
  <si>
    <t>9.upper</t>
  </si>
  <si>
    <t>10.proper</t>
  </si>
  <si>
    <t>11.left</t>
  </si>
  <si>
    <t>12.right</t>
  </si>
  <si>
    <t>13.mid</t>
  </si>
  <si>
    <t>14.conc.</t>
  </si>
  <si>
    <t>15.trim</t>
  </si>
  <si>
    <t xml:space="preserve">Total </t>
  </si>
  <si>
    <t>if</t>
  </si>
  <si>
    <t>countif</t>
  </si>
  <si>
    <t>Fail</t>
  </si>
  <si>
    <t>1.if</t>
  </si>
  <si>
    <t>2.countif</t>
  </si>
  <si>
    <t>AND</t>
  </si>
  <si>
    <t>OR</t>
  </si>
  <si>
    <t>Not</t>
  </si>
  <si>
    <t>Today</t>
  </si>
  <si>
    <t>Now()</t>
  </si>
  <si>
    <t>3.And</t>
  </si>
  <si>
    <t>4.or</t>
  </si>
  <si>
    <t>5.not</t>
  </si>
  <si>
    <t>6.today()</t>
  </si>
  <si>
    <t>7.Tom</t>
  </si>
  <si>
    <t>8.yesterday</t>
  </si>
  <si>
    <t>10.now()</t>
  </si>
  <si>
    <t>11.Day()</t>
  </si>
  <si>
    <t>12.Month()</t>
  </si>
  <si>
    <t>13.year()</t>
  </si>
  <si>
    <t>Second High Marks</t>
  </si>
  <si>
    <t>14.Countifs</t>
  </si>
  <si>
    <t>15.max</t>
  </si>
  <si>
    <t>16.min</t>
  </si>
  <si>
    <t>17.large</t>
  </si>
  <si>
    <t>18.small</t>
  </si>
  <si>
    <t>19.Power</t>
  </si>
  <si>
    <t>20.sqrt</t>
  </si>
  <si>
    <t>isnumber</t>
  </si>
  <si>
    <t>istext</t>
  </si>
  <si>
    <t>iseven</t>
  </si>
  <si>
    <t>isodd</t>
  </si>
  <si>
    <t>isblank</t>
  </si>
  <si>
    <t>mode</t>
  </si>
  <si>
    <t>mod</t>
  </si>
  <si>
    <t>var</t>
  </si>
  <si>
    <t>std</t>
  </si>
  <si>
    <t>corr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</si>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</sst>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₹&quot;\ #,##0.00"/>
    <numFmt numFmtId="165" formatCode="_-[$$-409]* #,##0.00_ ;_-[$$-409]* \-#,##0.00\ ;_-[$$-409]* &quot;-&quot;??_ ;_-@_ "/>
    <numFmt numFmtId="166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00"/>
      <name val="Bahnschrift"/>
      <family val="2"/>
    </font>
    <font>
      <sz val="11"/>
      <color theme="1"/>
      <name val="Bahnschrift"/>
      <family val="2"/>
    </font>
    <font>
      <b/>
      <sz val="14"/>
      <color rgb="FFFFFF00"/>
      <name val="Bahnschrift"/>
      <family val="2"/>
    </font>
    <font>
      <u/>
      <sz val="11"/>
      <color theme="10"/>
      <name val="Calibri"/>
      <family val="2"/>
      <scheme val="minor"/>
    </font>
    <font>
      <b/>
      <u/>
      <sz val="22"/>
      <name val="Algerian"/>
      <family val="5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slantDashDot">
        <color theme="3"/>
      </left>
      <right style="slantDashDot">
        <color theme="3"/>
      </right>
      <top style="slantDashDot">
        <color theme="3"/>
      </top>
      <bottom style="slantDashDot">
        <color theme="3"/>
      </bottom>
      <diagonal/>
    </border>
    <border>
      <left style="slantDashDot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slantDashDot">
        <color theme="3"/>
      </left>
      <right style="slantDashDot">
        <color theme="3"/>
      </right>
      <top/>
      <bottom style="slantDashDot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slantDashDot">
        <color theme="3"/>
      </left>
      <right style="slantDashDot">
        <color theme="3"/>
      </right>
      <top/>
      <bottom/>
      <diagonal/>
    </border>
    <border>
      <left style="slantDashDot">
        <color theme="3"/>
      </left>
      <right/>
      <top/>
      <bottom style="slantDashDot">
        <color theme="3"/>
      </bottom>
      <diagonal/>
    </border>
    <border>
      <left style="slantDashDot">
        <color theme="3"/>
      </left>
      <right/>
      <top style="slantDashDot">
        <color theme="3"/>
      </top>
      <bottom style="slantDashDot">
        <color theme="3"/>
      </bottom>
      <diagonal/>
    </border>
    <border>
      <left/>
      <right style="medium">
        <color theme="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7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13" xfId="0" applyFont="1" applyBorder="1"/>
    <xf numFmtId="0" fontId="5" fillId="0" borderId="14" xfId="0" applyFont="1" applyFill="1" applyBorder="1"/>
    <xf numFmtId="0" fontId="6" fillId="2" borderId="16" xfId="0" applyFont="1" applyFill="1" applyBorder="1"/>
    <xf numFmtId="0" fontId="4" fillId="2" borderId="16" xfId="0" applyFont="1" applyFill="1" applyBorder="1"/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4" fillId="2" borderId="20" xfId="0" applyFont="1" applyFill="1" applyBorder="1"/>
    <xf numFmtId="0" fontId="7" fillId="0" borderId="0" xfId="2" applyAlignment="1">
      <alignment wrapText="1"/>
    </xf>
    <xf numFmtId="0" fontId="5" fillId="0" borderId="0" xfId="0" applyFont="1" applyFill="1" applyBorder="1"/>
    <xf numFmtId="164" fontId="4" fillId="2" borderId="16" xfId="0" applyNumberFormat="1" applyFont="1" applyFill="1" applyBorder="1"/>
    <xf numFmtId="164" fontId="5" fillId="0" borderId="13" xfId="0" applyNumberFormat="1" applyFont="1" applyBorder="1"/>
    <xf numFmtId="165" fontId="4" fillId="2" borderId="16" xfId="0" applyNumberFormat="1" applyFont="1" applyFill="1" applyBorder="1"/>
    <xf numFmtId="165" fontId="5" fillId="0" borderId="13" xfId="0" applyNumberFormat="1" applyFont="1" applyBorder="1"/>
    <xf numFmtId="166" fontId="4" fillId="2" borderId="21" xfId="0" applyNumberFormat="1" applyFont="1" applyFill="1" applyBorder="1"/>
    <xf numFmtId="166" fontId="5" fillId="0" borderId="22" xfId="0" applyNumberFormat="1" applyFont="1" applyBorder="1"/>
    <xf numFmtId="166" fontId="5" fillId="0" borderId="13" xfId="0" applyNumberFormat="1" applyFont="1" applyBorder="1"/>
    <xf numFmtId="14" fontId="0" fillId="0" borderId="0" xfId="0" applyNumberFormat="1" applyBorder="1"/>
    <xf numFmtId="0" fontId="0" fillId="0" borderId="23" xfId="0" applyBorder="1"/>
    <xf numFmtId="0" fontId="2" fillId="4" borderId="15" xfId="0" applyFont="1" applyFill="1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3" fillId="6" borderId="2" xfId="0" applyFont="1" applyFill="1" applyBorder="1"/>
    <xf numFmtId="0" fontId="3" fillId="7" borderId="2" xfId="0" applyFont="1" applyFill="1" applyBorder="1"/>
    <xf numFmtId="0" fontId="1" fillId="0" borderId="1" xfId="1"/>
    <xf numFmtId="0" fontId="0" fillId="8" borderId="2" xfId="0" applyFont="1" applyFill="1" applyBorder="1"/>
    <xf numFmtId="0" fontId="2" fillId="9" borderId="32" xfId="0" applyFont="1" applyFill="1" applyBorder="1"/>
    <xf numFmtId="0" fontId="2" fillId="9" borderId="33" xfId="0" applyFont="1" applyFill="1" applyBorder="1"/>
    <xf numFmtId="0" fontId="2" fillId="9" borderId="34" xfId="0" applyFont="1" applyFill="1" applyBorder="1"/>
    <xf numFmtId="0" fontId="0" fillId="11" borderId="36" xfId="0" applyFont="1" applyFill="1" applyBorder="1"/>
    <xf numFmtId="0" fontId="0" fillId="10" borderId="36" xfId="0" applyFont="1" applyFill="1" applyBorder="1"/>
    <xf numFmtId="0" fontId="2" fillId="9" borderId="38" xfId="0" applyFont="1" applyFill="1" applyBorder="1"/>
    <xf numFmtId="0" fontId="2" fillId="9" borderId="39" xfId="0" applyFont="1" applyFill="1" applyBorder="1"/>
    <xf numFmtId="0" fontId="2" fillId="9" borderId="40" xfId="0" applyFont="1" applyFill="1" applyBorder="1"/>
    <xf numFmtId="0" fontId="2" fillId="9" borderId="35" xfId="0" applyFont="1" applyFill="1" applyBorder="1"/>
    <xf numFmtId="0" fontId="2" fillId="9" borderId="37" xfId="0" applyFont="1" applyFill="1" applyBorder="1"/>
    <xf numFmtId="0" fontId="2" fillId="5" borderId="2" xfId="0" applyFont="1" applyFill="1" applyBorder="1"/>
    <xf numFmtId="0" fontId="0" fillId="12" borderId="0" xfId="0" applyFill="1"/>
    <xf numFmtId="0" fontId="0" fillId="13" borderId="0" xfId="0" applyFill="1"/>
    <xf numFmtId="0" fontId="8" fillId="12" borderId="0" xfId="0" applyFont="1" applyFill="1" applyAlignment="1">
      <alignment horizontal="center" vertical="center"/>
    </xf>
    <xf numFmtId="0" fontId="2" fillId="4" borderId="41" xfId="0" applyFont="1" applyFill="1" applyBorder="1"/>
    <xf numFmtId="0" fontId="0" fillId="0" borderId="42" xfId="0" applyBorder="1"/>
    <xf numFmtId="0" fontId="0" fillId="0" borderId="15" xfId="0" applyFill="1" applyBorder="1"/>
    <xf numFmtId="14" fontId="0" fillId="0" borderId="0" xfId="0" applyNumberFormat="1"/>
    <xf numFmtId="22" fontId="0" fillId="0" borderId="0" xfId="0" applyNumberFormat="1"/>
  </cellXfs>
  <cellStyles count="3">
    <cellStyle name="Heading 1" xfId="1" builtinId="16"/>
    <cellStyle name="Hyperlink" xfId="2" builtinId="8"/>
    <cellStyle name="Normal" xfId="0" builtinId="0"/>
  </cellStyles>
  <dxfs count="17">
    <dxf>
      <font>
        <b/>
        <i val="0"/>
        <color rgb="FFFFFF00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b/>
        <i/>
        <color theme="3"/>
      </font>
      <numFmt numFmtId="2" formatCode="0.00"/>
      <fill>
        <patternFill patternType="darkGray">
          <bgColor rgb="FFFFC0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2 charts in excel'!$J$1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excel'!$G$2:$I$6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'Day 2 charts in excel'!$J$2:$J$6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1"/>
          <c:order val="1"/>
          <c:tx>
            <c:strRef>
              <c:f>'Day 2 charts in excel'!$K$1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excel'!$G$2:$I$6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'Day 2 charts in excel'!$K$2:$K$6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2 charts in excel'!$L$1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2 charts in excel'!$G$2:$I$6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'Day 2 charts in excel'!$L$2:$L$6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6370048"/>
        <c:axId val="156371584"/>
      </c:barChart>
      <c:catAx>
        <c:axId val="156370048"/>
        <c:scaling>
          <c:orientation val="minMax"/>
        </c:scaling>
        <c:delete val="0"/>
        <c:axPos val="b"/>
        <c:majorTickMark val="none"/>
        <c:minorTickMark val="none"/>
        <c:tickLblPos val="nextTo"/>
        <c:crossAx val="156371584"/>
        <c:crosses val="autoZero"/>
        <c:auto val="1"/>
        <c:lblAlgn val="ctr"/>
        <c:lblOffset val="100"/>
        <c:noMultiLvlLbl val="0"/>
      </c:catAx>
      <c:valAx>
        <c:axId val="156371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370048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'Day 2 charts in excel'!$J$1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excel'!$J$2:$J$6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1"/>
          <c:order val="1"/>
          <c:tx>
            <c:strRef>
              <c:f>'Day 2 charts in excel'!$K$1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excel'!$K$2:$K$6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2 charts in excel'!$L$1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excel'!$L$2:$L$6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180224"/>
        <c:axId val="236181760"/>
        <c:axId val="0"/>
      </c:bar3DChart>
      <c:catAx>
        <c:axId val="236180224"/>
        <c:scaling>
          <c:orientation val="minMax"/>
        </c:scaling>
        <c:delete val="0"/>
        <c:axPos val="b"/>
        <c:majorTickMark val="out"/>
        <c:minorTickMark val="none"/>
        <c:tickLblPos val="nextTo"/>
        <c:crossAx val="236181760"/>
        <c:crosses val="autoZero"/>
        <c:auto val="1"/>
        <c:lblAlgn val="ctr"/>
        <c:lblOffset val="100"/>
        <c:noMultiLvlLbl val="0"/>
      </c:catAx>
      <c:valAx>
        <c:axId val="23618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180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'Day 2 charts in excel'!$J$1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excel'!$J$2:$J$6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1"/>
          <c:order val="1"/>
          <c:tx>
            <c:strRef>
              <c:f>'Day 2 charts in excel'!$K$1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excel'!$K$2:$K$6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2 charts in excel'!$L$1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excel'!$L$2:$L$6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39078784"/>
        <c:axId val="245011584"/>
        <c:axId val="0"/>
      </c:bar3DChart>
      <c:catAx>
        <c:axId val="23907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45011584"/>
        <c:crosses val="autoZero"/>
        <c:auto val="1"/>
        <c:lblAlgn val="ctr"/>
        <c:lblOffset val="100"/>
        <c:noMultiLvlLbl val="0"/>
      </c:catAx>
      <c:valAx>
        <c:axId val="245011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078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'Day 2 charts in excel'!$J$1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excel'!$J$2:$J$6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1"/>
          <c:order val="1"/>
          <c:tx>
            <c:strRef>
              <c:f>'Day 2 charts in excel'!$K$1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excel'!$K$2:$K$6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2 charts in excel'!$L$1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excel'!$L$2:$L$6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237985152"/>
        <c:axId val="237986944"/>
        <c:axId val="237998080"/>
      </c:bar3DChart>
      <c:catAx>
        <c:axId val="23798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37986944"/>
        <c:crosses val="autoZero"/>
        <c:auto val="1"/>
        <c:lblAlgn val="ctr"/>
        <c:lblOffset val="100"/>
        <c:noMultiLvlLbl val="0"/>
      </c:catAx>
      <c:valAx>
        <c:axId val="23798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985152"/>
        <c:crosses val="autoZero"/>
        <c:crossBetween val="between"/>
      </c:valAx>
      <c:serAx>
        <c:axId val="237998080"/>
        <c:scaling>
          <c:orientation val="minMax"/>
        </c:scaling>
        <c:delete val="0"/>
        <c:axPos val="b"/>
        <c:majorTickMark val="out"/>
        <c:minorTickMark val="none"/>
        <c:tickLblPos val="nextTo"/>
        <c:crossAx val="237986944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'Day 2 charts in excel'!$J$1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excel'!$J$2:$J$6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1"/>
          <c:order val="1"/>
          <c:tx>
            <c:strRef>
              <c:f>'Day 2 charts in excel'!$K$1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excel'!$K$2:$K$6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2 charts in excel'!$L$1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2 charts in excel'!$H$2:$I$6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2 charts in excel'!$L$2:$L$6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36811776"/>
        <c:axId val="236813312"/>
        <c:axId val="0"/>
      </c:bar3DChart>
      <c:catAx>
        <c:axId val="236811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36813312"/>
        <c:crosses val="autoZero"/>
        <c:auto val="1"/>
        <c:lblAlgn val="ctr"/>
        <c:lblOffset val="100"/>
        <c:noMultiLvlLbl val="0"/>
      </c:catAx>
      <c:valAx>
        <c:axId val="2368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811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99518810148729E-2"/>
          <c:y val="2.8252405949256341E-2"/>
          <c:w val="0.71738604549431317"/>
          <c:h val="0.74673228346456688"/>
        </c:manualLayout>
      </c:layout>
      <c:line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marker>
            <c:symbol val="none"/>
          </c:marker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marker>
            <c:symbol val="none"/>
          </c:marker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marker>
            <c:symbol val="none"/>
          </c:marker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33088"/>
        <c:axId val="236634880"/>
      </c:lineChart>
      <c:catAx>
        <c:axId val="236633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36634880"/>
        <c:crosses val="autoZero"/>
        <c:auto val="1"/>
        <c:lblAlgn val="ctr"/>
        <c:lblOffset val="100"/>
        <c:noMultiLvlLbl val="0"/>
      </c:catAx>
      <c:valAx>
        <c:axId val="23663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633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marker val="1"/>
        <c:smooth val="0"/>
        <c:axId val="239634688"/>
        <c:axId val="239656960"/>
      </c:lineChart>
      <c:catAx>
        <c:axId val="239634688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239656960"/>
        <c:crosses val="autoZero"/>
        <c:auto val="1"/>
        <c:lblAlgn val="ctr"/>
        <c:lblOffset val="100"/>
        <c:noMultiLvlLbl val="0"/>
      </c:catAx>
      <c:valAx>
        <c:axId val="23965696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239634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398144"/>
        <c:axId val="241399680"/>
        <c:axId val="265492672"/>
      </c:line3DChart>
      <c:catAx>
        <c:axId val="2413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241399680"/>
        <c:crosses val="autoZero"/>
        <c:auto val="1"/>
        <c:lblAlgn val="ctr"/>
        <c:lblOffset val="100"/>
        <c:noMultiLvlLbl val="0"/>
      </c:catAx>
      <c:valAx>
        <c:axId val="24139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1398144"/>
        <c:crosses val="autoZero"/>
        <c:crossBetween val="between"/>
      </c:valAx>
      <c:serAx>
        <c:axId val="265492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4139968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114560"/>
        <c:axId val="266233344"/>
      </c:areaChart>
      <c:catAx>
        <c:axId val="266114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66233344"/>
        <c:auto val="1"/>
        <c:lblAlgn val="ctr"/>
        <c:lblOffset val="100"/>
        <c:noMultiLvlLbl val="0"/>
      </c:catAx>
      <c:valAx>
        <c:axId val="266233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6114560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06425088"/>
        <c:axId val="224820224"/>
        <c:axId val="243402496"/>
      </c:bar3DChart>
      <c:catAx>
        <c:axId val="206425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24820224"/>
        <c:crosses val="autoZero"/>
        <c:auto val="1"/>
        <c:lblAlgn val="ctr"/>
        <c:lblOffset val="100"/>
        <c:noMultiLvlLbl val="0"/>
      </c:catAx>
      <c:valAx>
        <c:axId val="22482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425088"/>
        <c:crosses val="autoZero"/>
        <c:crossBetween val="between"/>
      </c:valAx>
      <c:serAx>
        <c:axId val="243402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24820224"/>
      </c:ser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path path="circle">
        <a:fillToRect r="100000" b="100000"/>
      </a:path>
      <a:tileRect l="-100000" t="-100000"/>
    </a:gra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spPr>
            <a:ln w="28575">
              <a:noFill/>
            </a:ln>
          </c:spPr>
          <c:xVal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xVal>
          <c:y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spPr>
            <a:ln w="28575">
              <a:noFill/>
            </a:ln>
          </c:spPr>
          <c:xVal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xVal>
          <c:y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spPr>
            <a:ln w="28575">
              <a:noFill/>
            </a:ln>
          </c:spPr>
          <c:xVal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xVal>
          <c:y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405248"/>
        <c:axId val="265945472"/>
      </c:scatterChart>
      <c:valAx>
        <c:axId val="23040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65945472"/>
        <c:crosses val="autoZero"/>
        <c:crossBetween val="midCat"/>
      </c:valAx>
      <c:valAx>
        <c:axId val="265945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4052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095040"/>
        <c:axId val="265228288"/>
      </c:barChart>
      <c:valAx>
        <c:axId val="2652282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65095040"/>
        <c:crosses val="autoZero"/>
        <c:crossBetween val="between"/>
      </c:valAx>
      <c:catAx>
        <c:axId val="265095040"/>
        <c:scaling>
          <c:orientation val="minMax"/>
        </c:scaling>
        <c:delete val="0"/>
        <c:axPos val="l"/>
        <c:majorTickMark val="out"/>
        <c:minorTickMark val="none"/>
        <c:tickLblPos val="nextTo"/>
        <c:crossAx val="2652282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spPr>
    <a:blipFill dpi="0" rotWithShape="1">
      <a:blip xmlns:r="http://schemas.openxmlformats.org/officeDocument/2006/relationships" r:embed="rId1"/>
      <a:srcRect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5840"/>
        <c:axId val="12437376"/>
      </c:areaChart>
      <c:catAx>
        <c:axId val="12435840"/>
        <c:scaling>
          <c:orientation val="minMax"/>
        </c:scaling>
        <c:delete val="0"/>
        <c:axPos val="b"/>
        <c:majorTickMark val="out"/>
        <c:minorTickMark val="none"/>
        <c:tickLblPos val="nextTo"/>
        <c:crossAx val="12437376"/>
        <c:crosses val="autoZero"/>
        <c:auto val="1"/>
        <c:lblAlgn val="ctr"/>
        <c:lblOffset val="100"/>
        <c:noMultiLvlLbl val="0"/>
      </c:catAx>
      <c:valAx>
        <c:axId val="1243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35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114300">
        <a:prstClr val="black"/>
      </a:innerShdw>
    </a:effectLst>
    <a:scene3d>
      <a:camera prst="orthographicFront"/>
      <a:lightRig rig="threePt" dir="t"/>
    </a:scene3d>
    <a:sp3d>
      <a:bevelT prst="relaxedInset"/>
    </a:sp3d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  <c:spPr>
        <a:pattFill prst="ltDnDiag">
          <a:fgClr>
            <a:srgbClr val="FF0000"/>
          </a:fgClr>
          <a:bgClr>
            <a:schemeClr val="tx1"/>
          </a:bgClr>
        </a:pattFill>
      </c:spPr>
    </c:sideWall>
    <c:backWall>
      <c:thickness val="0"/>
      <c:spPr>
        <a:pattFill prst="ltDnDiag">
          <a:fgClr>
            <a:srgbClr val="FF0000"/>
          </a:fgClr>
          <a:bgClr>
            <a:schemeClr val="tx1"/>
          </a:bgClr>
        </a:pattFill>
      </c:spPr>
    </c:backWall>
    <c:plotArea>
      <c:layout>
        <c:manualLayout>
          <c:layoutTarget val="inner"/>
          <c:xMode val="edge"/>
          <c:yMode val="edge"/>
          <c:x val="7.1047317447623423E-2"/>
          <c:y val="5.6876573151498418E-2"/>
          <c:w val="0.59525782405537619"/>
          <c:h val="0.63035075033914578"/>
        </c:manualLayout>
      </c:layout>
      <c:line3D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621184"/>
        <c:axId val="230622720"/>
        <c:axId val="242440384"/>
      </c:line3DChart>
      <c:catAx>
        <c:axId val="230621184"/>
        <c:scaling>
          <c:orientation val="minMax"/>
        </c:scaling>
        <c:delete val="0"/>
        <c:axPos val="b"/>
        <c:majorTickMark val="out"/>
        <c:minorTickMark val="none"/>
        <c:tickLblPos val="nextTo"/>
        <c:crossAx val="230622720"/>
        <c:crosses val="autoZero"/>
        <c:auto val="1"/>
        <c:lblAlgn val="ctr"/>
        <c:lblOffset val="100"/>
        <c:noMultiLvlLbl val="0"/>
      </c:catAx>
      <c:valAx>
        <c:axId val="23062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621184"/>
        <c:crosses val="autoZero"/>
        <c:crossBetween val="between"/>
      </c:valAx>
      <c:serAx>
        <c:axId val="242440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30622720"/>
      </c:serAx>
    </c:plotArea>
    <c:legend>
      <c:legendPos val="r"/>
      <c:layout/>
      <c:overlay val="0"/>
    </c:legend>
    <c:plotVisOnly val="1"/>
    <c:dispBlanksAs val="gap"/>
    <c:showDLblsOverMax val="0"/>
  </c:chart>
  <c:spPr>
    <a:pattFill prst="pct5">
      <a:fgClr>
        <a:srgbClr val="FF0000"/>
      </a:fgClr>
      <a:bgClr>
        <a:schemeClr val="tx1"/>
      </a:bgClr>
    </a:patt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>
        <a:lumMod val="50000"/>
      </a:schemeClr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pattFill prst="dashHorz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</c:spPr>
          </c:dPt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1"/>
                <a:tile tx="0" ty="0" sx="100000" sy="100000" flip="none" algn="tl"/>
              </a:blipFill>
            </c:spPr>
          </c:dPt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00512"/>
        <c:axId val="10810880"/>
      </c:barChart>
      <c:valAx>
        <c:axId val="10810880"/>
        <c:scaling>
          <c:orientation val="minMax"/>
        </c:scaling>
        <c:delete val="0"/>
        <c:axPos val="l"/>
        <c:majorGridlines>
          <c:spPr>
            <a:ln>
              <a:solidFill>
                <a:schemeClr val="tx2">
                  <a:lumMod val="50000"/>
                </a:schemeClr>
              </a:solidFill>
            </a:ln>
            <a:effectLst>
              <a:innerShdw blurRad="63500" dist="50800" dir="13500000">
                <a:schemeClr val="tx1"/>
              </a:innerShdw>
            </a:effectLst>
          </c:spPr>
        </c:majorGridlines>
        <c:numFmt formatCode="General" sourceLinked="1"/>
        <c:majorTickMark val="out"/>
        <c:minorTickMark val="none"/>
        <c:tickLblPos val="nextTo"/>
        <c:crossAx val="12400512"/>
        <c:crosses val="autoZero"/>
        <c:crossBetween val="between"/>
      </c:valAx>
      <c:catAx>
        <c:axId val="12400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081088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noFill/>
    <a:ln w="15875" cap="rnd" cmpd="dbl">
      <a:solidFill>
        <a:srgbClr val="002060"/>
      </a:solidFill>
      <a:prstDash val="solid"/>
    </a:ln>
  </c:spPr>
  <c:txPr>
    <a:bodyPr/>
    <a:lstStyle/>
    <a:p>
      <a:pPr>
        <a:defRPr b="1"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pattFill prst="dashHorz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</c:spPr>
          </c:dPt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1"/>
                <a:tile tx="0" ty="0" sx="100000" sy="100000" flip="none" algn="tl"/>
              </a:blipFill>
            </c:spPr>
          </c:dPt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057024"/>
        <c:axId val="242707840"/>
      </c:barChart>
      <c:valAx>
        <c:axId val="242707840"/>
        <c:scaling>
          <c:orientation val="minMax"/>
        </c:scaling>
        <c:delete val="0"/>
        <c:axPos val="l"/>
        <c:majorGridlines>
          <c:spPr>
            <a:ln>
              <a:solidFill>
                <a:schemeClr val="tx2">
                  <a:lumMod val="50000"/>
                </a:schemeClr>
              </a:solidFill>
            </a:ln>
            <a:effectLst>
              <a:innerShdw blurRad="63500" dist="50800" dir="13500000">
                <a:schemeClr val="tx1"/>
              </a:innerShdw>
            </a:effectLst>
          </c:spPr>
        </c:majorGridlines>
        <c:numFmt formatCode="General" sourceLinked="1"/>
        <c:majorTickMark val="out"/>
        <c:minorTickMark val="none"/>
        <c:tickLblPos val="nextTo"/>
        <c:crossAx val="245057024"/>
        <c:crosses val="autoZero"/>
        <c:crossBetween val="between"/>
      </c:valAx>
      <c:catAx>
        <c:axId val="245057024"/>
        <c:scaling>
          <c:orientation val="minMax"/>
        </c:scaling>
        <c:delete val="0"/>
        <c:axPos val="b"/>
        <c:majorTickMark val="out"/>
        <c:minorTickMark val="none"/>
        <c:tickLblPos val="nextTo"/>
        <c:crossAx val="24270784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spPr>
    <a:noFill/>
    <a:ln w="15875" cap="rnd" cmpd="dbl">
      <a:solidFill>
        <a:srgbClr val="002060"/>
      </a:solidFill>
      <a:prstDash val="solid"/>
    </a:ln>
  </c:spPr>
  <c:txPr>
    <a:bodyPr/>
    <a:lstStyle/>
    <a:p>
      <a:pPr>
        <a:defRPr b="1"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30114048"/>
        <c:axId val="230115584"/>
        <c:axId val="266392000"/>
      </c:bar3DChart>
      <c:catAx>
        <c:axId val="230114048"/>
        <c:scaling>
          <c:orientation val="minMax"/>
        </c:scaling>
        <c:delete val="0"/>
        <c:axPos val="b"/>
        <c:majorTickMark val="out"/>
        <c:minorTickMark val="none"/>
        <c:tickLblPos val="nextTo"/>
        <c:crossAx val="230115584"/>
        <c:crosses val="autoZero"/>
        <c:auto val="1"/>
        <c:lblAlgn val="ctr"/>
        <c:lblOffset val="100"/>
        <c:noMultiLvlLbl val="0"/>
      </c:catAx>
      <c:valAx>
        <c:axId val="230115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114048"/>
        <c:crosses val="autoZero"/>
        <c:crossBetween val="between"/>
      </c:valAx>
      <c:serAx>
        <c:axId val="266392000"/>
        <c:scaling>
          <c:orientation val="minMax"/>
        </c:scaling>
        <c:delete val="0"/>
        <c:axPos val="b"/>
        <c:majorTickMark val="out"/>
        <c:minorTickMark val="none"/>
        <c:tickLblPos val="nextTo"/>
        <c:crossAx val="230115584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path path="circle">
        <a:fillToRect r="100000" b="100000"/>
      </a:path>
      <a:tileRect l="-100000" t="-100000"/>
    </a:gra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68616064"/>
        <c:axId val="268617600"/>
        <c:axId val="268623872"/>
      </c:bar3DChart>
      <c:catAx>
        <c:axId val="268616064"/>
        <c:scaling>
          <c:orientation val="minMax"/>
        </c:scaling>
        <c:delete val="0"/>
        <c:axPos val="b"/>
        <c:majorTickMark val="out"/>
        <c:minorTickMark val="none"/>
        <c:tickLblPos val="nextTo"/>
        <c:crossAx val="268617600"/>
        <c:crosses val="autoZero"/>
        <c:auto val="1"/>
        <c:lblAlgn val="ctr"/>
        <c:lblOffset val="100"/>
        <c:noMultiLvlLbl val="0"/>
      </c:catAx>
      <c:valAx>
        <c:axId val="26861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8616064"/>
        <c:crosses val="autoZero"/>
        <c:crossBetween val="between"/>
      </c:valAx>
      <c:serAx>
        <c:axId val="26862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6861760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path path="circle">
        <a:fillToRect r="100000" b="100000"/>
      </a:path>
      <a:tileRect l="-100000" t="-100000"/>
    </a:gra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83897856"/>
        <c:axId val="283899392"/>
        <c:axId val="283641152"/>
      </c:bar3DChart>
      <c:catAx>
        <c:axId val="283897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83899392"/>
        <c:crosses val="autoZero"/>
        <c:auto val="1"/>
        <c:lblAlgn val="ctr"/>
        <c:lblOffset val="100"/>
        <c:noMultiLvlLbl val="0"/>
      </c:catAx>
      <c:valAx>
        <c:axId val="28389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897856"/>
        <c:crosses val="autoZero"/>
        <c:crossBetween val="between"/>
      </c:valAx>
      <c:serAx>
        <c:axId val="283641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83899392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path path="circle">
        <a:fillToRect r="100000" b="100000"/>
      </a:path>
      <a:tileRect l="-100000" t="-100000"/>
    </a:gra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69651328"/>
        <c:axId val="269657216"/>
        <c:axId val="269503104"/>
      </c:bar3DChart>
      <c:catAx>
        <c:axId val="269651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69657216"/>
        <c:crosses val="autoZero"/>
        <c:auto val="1"/>
        <c:lblAlgn val="ctr"/>
        <c:lblOffset val="100"/>
        <c:noMultiLvlLbl val="0"/>
      </c:catAx>
      <c:valAx>
        <c:axId val="269657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9651328"/>
        <c:crosses val="autoZero"/>
        <c:crossBetween val="between"/>
      </c:valAx>
      <c:serAx>
        <c:axId val="26950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69657216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rgbClr val="000000"/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path path="circle">
        <a:fillToRect r="100000" b="100000"/>
      </a:path>
      <a:tileRect l="-100000" t="-100000"/>
    </a:gra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55424"/>
        <c:axId val="350073600"/>
      </c:areaChart>
      <c:catAx>
        <c:axId val="350055424"/>
        <c:scaling>
          <c:orientation val="minMax"/>
        </c:scaling>
        <c:delete val="0"/>
        <c:axPos val="b"/>
        <c:majorTickMark val="out"/>
        <c:minorTickMark val="none"/>
        <c:tickLblPos val="nextTo"/>
        <c:crossAx val="350073600"/>
        <c:crosses val="autoZero"/>
        <c:auto val="1"/>
        <c:lblAlgn val="ctr"/>
        <c:lblOffset val="100"/>
        <c:noMultiLvlLbl val="0"/>
      </c:catAx>
      <c:valAx>
        <c:axId val="35007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00554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 w="25400" cap="rnd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50095616"/>
        <c:axId val="350101504"/>
        <c:axId val="0"/>
      </c:bar3DChart>
      <c:catAx>
        <c:axId val="350095616"/>
        <c:scaling>
          <c:orientation val="minMax"/>
        </c:scaling>
        <c:delete val="0"/>
        <c:axPos val="b"/>
        <c:majorTickMark val="out"/>
        <c:minorTickMark val="none"/>
        <c:tickLblPos val="nextTo"/>
        <c:crossAx val="350101504"/>
        <c:crosses val="autoZero"/>
        <c:auto val="1"/>
        <c:lblAlgn val="ctr"/>
        <c:lblOffset val="100"/>
        <c:noMultiLvlLbl val="0"/>
      </c:catAx>
      <c:valAx>
        <c:axId val="3501015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0095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114300">
        <a:prstClr val="black"/>
      </a:innerShdw>
    </a:effectLst>
    <a:scene3d>
      <a:camera prst="orthographicFront"/>
      <a:lightRig rig="threePt" dir="t"/>
    </a:scene3d>
    <a:sp3d>
      <a:bevelT prst="relaxedInset"/>
    </a:sp3d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038457149378"/>
          <c:y val="2.8679185517348053E-2"/>
          <c:w val="0.7428246034463083"/>
          <c:h val="0.74290643277883406"/>
        </c:manualLayout>
      </c:layout>
      <c:line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184192"/>
        <c:axId val="350185728"/>
      </c:lineChart>
      <c:catAx>
        <c:axId val="35018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350185728"/>
        <c:crosses val="autoZero"/>
        <c:auto val="1"/>
        <c:lblAlgn val="ctr"/>
        <c:lblOffset val="100"/>
        <c:noMultiLvlLbl val="0"/>
      </c:catAx>
      <c:valAx>
        <c:axId val="350185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0184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80264663646205"/>
          <c:y val="9.0989785662196718E-2"/>
          <c:w val="0.74404656713651451"/>
          <c:h val="0.690876238639179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272896"/>
        <c:axId val="350274688"/>
      </c:barChart>
      <c:catAx>
        <c:axId val="350272896"/>
        <c:scaling>
          <c:orientation val="minMax"/>
        </c:scaling>
        <c:delete val="0"/>
        <c:axPos val="l"/>
        <c:majorTickMark val="out"/>
        <c:minorTickMark val="none"/>
        <c:tickLblPos val="nextTo"/>
        <c:crossAx val="350274688"/>
        <c:crosses val="autoZero"/>
        <c:auto val="1"/>
        <c:lblAlgn val="ctr"/>
        <c:lblOffset val="100"/>
        <c:noMultiLvlLbl val="0"/>
      </c:catAx>
      <c:valAx>
        <c:axId val="3502746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50272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80264663646205"/>
          <c:y val="9.0989785662196718E-2"/>
          <c:w val="0.74404656713651451"/>
          <c:h val="0.69087623863917991"/>
        </c:manualLayout>
      </c:layout>
      <c:ofPieChart>
        <c:ofPieType val="bar"/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/>
      </c:of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967680"/>
        <c:axId val="348969216"/>
      </c:areaChart>
      <c:catAx>
        <c:axId val="348967680"/>
        <c:scaling>
          <c:orientation val="minMax"/>
        </c:scaling>
        <c:delete val="0"/>
        <c:axPos val="b"/>
        <c:majorTickMark val="out"/>
        <c:minorTickMark val="none"/>
        <c:tickLblPos val="nextTo"/>
        <c:crossAx val="348969216"/>
        <c:crosses val="autoZero"/>
        <c:auto val="1"/>
        <c:lblAlgn val="ctr"/>
        <c:lblOffset val="100"/>
        <c:noMultiLvlLbl val="0"/>
      </c:catAx>
      <c:valAx>
        <c:axId val="348969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8967680"/>
        <c:crosses val="autoZero"/>
        <c:crossBetween val="midCat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  <a:ln w="25400" cap="rnd" cmpd="sng"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48995584"/>
        <c:axId val="348997120"/>
        <c:axId val="0"/>
      </c:bar3DChart>
      <c:catAx>
        <c:axId val="348995584"/>
        <c:scaling>
          <c:orientation val="minMax"/>
        </c:scaling>
        <c:delete val="0"/>
        <c:axPos val="b"/>
        <c:majorTickMark val="out"/>
        <c:minorTickMark val="none"/>
        <c:tickLblPos val="nextTo"/>
        <c:crossAx val="348997120"/>
        <c:crosses val="autoZero"/>
        <c:auto val="1"/>
        <c:lblAlgn val="ctr"/>
        <c:lblOffset val="100"/>
        <c:noMultiLvlLbl val="0"/>
      </c:catAx>
      <c:valAx>
        <c:axId val="3489971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899558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spPr>
    <a:noFill/>
    <a:effectLst>
      <a:innerShdw blurRad="114300">
        <a:prstClr val="black"/>
      </a:innerShdw>
    </a:effectLst>
    <a:scene3d>
      <a:camera prst="orthographicFront"/>
      <a:lightRig rig="threePt" dir="t"/>
    </a:scene3d>
    <a:sp3d>
      <a:bevelT prst="relaxedInset"/>
    </a:sp3d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038457149378"/>
          <c:y val="2.8679185517348053E-2"/>
          <c:w val="0.7428246034463083"/>
          <c:h val="0.74290643277883406"/>
        </c:manualLayout>
      </c:layout>
      <c:line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051136"/>
        <c:axId val="349065216"/>
      </c:lineChart>
      <c:catAx>
        <c:axId val="349051136"/>
        <c:scaling>
          <c:orientation val="minMax"/>
        </c:scaling>
        <c:delete val="0"/>
        <c:axPos val="b"/>
        <c:majorTickMark val="out"/>
        <c:minorTickMark val="none"/>
        <c:tickLblPos val="nextTo"/>
        <c:crossAx val="349065216"/>
        <c:crosses val="autoZero"/>
        <c:auto val="1"/>
        <c:lblAlgn val="ctr"/>
        <c:lblOffset val="100"/>
        <c:noMultiLvlLbl val="0"/>
      </c:catAx>
      <c:valAx>
        <c:axId val="34906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9051136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80264663646205"/>
          <c:y val="9.0989785662196718E-2"/>
          <c:w val="0.74404656713651451"/>
          <c:h val="0.690876238639179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070464"/>
        <c:axId val="349072000"/>
      </c:barChart>
      <c:catAx>
        <c:axId val="349070464"/>
        <c:scaling>
          <c:orientation val="minMax"/>
        </c:scaling>
        <c:delete val="0"/>
        <c:axPos val="l"/>
        <c:majorTickMark val="out"/>
        <c:minorTickMark val="none"/>
        <c:tickLblPos val="nextTo"/>
        <c:crossAx val="349072000"/>
        <c:crosses val="autoZero"/>
        <c:auto val="1"/>
        <c:lblAlgn val="ctr"/>
        <c:lblOffset val="100"/>
        <c:noMultiLvlLbl val="0"/>
      </c:catAx>
      <c:valAx>
        <c:axId val="3490720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4907046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80264663646205"/>
          <c:y val="9.0989785662196718E-2"/>
          <c:w val="0.74404656713651451"/>
          <c:h val="0.69087623863917991"/>
        </c:manualLayout>
      </c:layout>
      <c:ofPieChart>
        <c:ofPieType val="bar"/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/>
      </c:ofPieChart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26912"/>
        <c:axId val="242420736"/>
      </c:areaChart>
      <c:catAx>
        <c:axId val="242326912"/>
        <c:scaling>
          <c:orientation val="minMax"/>
        </c:scaling>
        <c:delete val="0"/>
        <c:axPos val="b"/>
        <c:majorTickMark val="out"/>
        <c:minorTickMark val="none"/>
        <c:tickLblPos val="nextTo"/>
        <c:crossAx val="242420736"/>
        <c:crosses val="autoZero"/>
        <c:auto val="1"/>
        <c:lblAlgn val="ctr"/>
        <c:lblOffset val="100"/>
        <c:noMultiLvlLbl val="0"/>
      </c:catAx>
      <c:valAx>
        <c:axId val="24242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2326912"/>
        <c:crosses val="autoZero"/>
        <c:crossBetween val="midCat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  <a:ln w="25400" cap="rnd" cmpd="sng"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70213504"/>
        <c:axId val="270215040"/>
        <c:axId val="0"/>
      </c:bar3DChart>
      <c:catAx>
        <c:axId val="270213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70215040"/>
        <c:crosses val="autoZero"/>
        <c:auto val="1"/>
        <c:lblAlgn val="ctr"/>
        <c:lblOffset val="100"/>
        <c:noMultiLvlLbl val="0"/>
      </c:catAx>
      <c:valAx>
        <c:axId val="270215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7021350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spPr>
    <a:noFill/>
    <a:effectLst>
      <a:innerShdw blurRad="114300">
        <a:prstClr val="black"/>
      </a:innerShdw>
    </a:effectLst>
    <a:scene3d>
      <a:camera prst="orthographicFront"/>
      <a:lightRig rig="threePt" dir="t"/>
    </a:scene3d>
    <a:sp3d>
      <a:bevelT prst="relaxedInset"/>
    </a:sp3d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038457149378"/>
          <c:y val="2.8679185517348053E-2"/>
          <c:w val="0.7428246034463083"/>
          <c:h val="0.74290643277883406"/>
        </c:manualLayout>
      </c:layout>
      <c:lineChart>
        <c:grouping val="standar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707264"/>
        <c:axId val="345708800"/>
      </c:lineChart>
      <c:catAx>
        <c:axId val="345707264"/>
        <c:scaling>
          <c:orientation val="minMax"/>
        </c:scaling>
        <c:delete val="0"/>
        <c:axPos val="b"/>
        <c:majorTickMark val="out"/>
        <c:minorTickMark val="none"/>
        <c:tickLblPos val="nextTo"/>
        <c:crossAx val="345708800"/>
        <c:crosses val="autoZero"/>
        <c:auto val="1"/>
        <c:lblAlgn val="ctr"/>
        <c:lblOffset val="100"/>
        <c:noMultiLvlLbl val="0"/>
      </c:catAx>
      <c:valAx>
        <c:axId val="34570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570726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80264663646205"/>
          <c:y val="9.0989785662196718E-2"/>
          <c:w val="0.74404656713651451"/>
          <c:h val="0.690876238639179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invertIfNegative val="0"/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793280"/>
        <c:axId val="349799168"/>
      </c:barChart>
      <c:catAx>
        <c:axId val="349793280"/>
        <c:scaling>
          <c:orientation val="minMax"/>
        </c:scaling>
        <c:delete val="0"/>
        <c:axPos val="l"/>
        <c:majorTickMark val="out"/>
        <c:minorTickMark val="none"/>
        <c:tickLblPos val="nextTo"/>
        <c:crossAx val="349799168"/>
        <c:crosses val="autoZero"/>
        <c:auto val="1"/>
        <c:lblAlgn val="ctr"/>
        <c:lblOffset val="100"/>
        <c:noMultiLvlLbl val="0"/>
      </c:catAx>
      <c:valAx>
        <c:axId val="3497991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49793280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80264663646205"/>
          <c:y val="9.0989785662196718E-2"/>
          <c:w val="0.74404656713651451"/>
          <c:h val="0.69087623863917991"/>
        </c:manualLayout>
      </c:layout>
      <c:ofPieChart>
        <c:ofPieType val="bar"/>
        <c:varyColors val="1"/>
        <c:ser>
          <c:idx val="0"/>
          <c:order val="0"/>
          <c:tx>
            <c:strRef>
              <c:f>'Day 3 Charts Formating'!$C$2</c:f>
              <c:strCache>
                <c:ptCount val="1"/>
                <c:pt idx="0">
                  <c:v>Python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Formating'!$C$3:$C$7</c:f>
              <c:numCache>
                <c:formatCode>General</c:formatCode>
                <c:ptCount val="5"/>
                <c:pt idx="0">
                  <c:v>40</c:v>
                </c:pt>
                <c:pt idx="1">
                  <c:v>34</c:v>
                </c:pt>
                <c:pt idx="2">
                  <c:v>48</c:v>
                </c:pt>
                <c:pt idx="3">
                  <c:v>49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'Day 3 Charts Formating'!$D$2</c:f>
              <c:strCache>
                <c:ptCount val="1"/>
                <c:pt idx="0">
                  <c:v>Excel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Formating'!$D$3:$D$7</c:f>
              <c:numCache>
                <c:formatCode>General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48</c:v>
                </c:pt>
                <c:pt idx="3">
                  <c:v>47</c:v>
                </c:pt>
                <c:pt idx="4">
                  <c:v>44</c:v>
                </c:pt>
              </c:numCache>
            </c:numRef>
          </c:val>
        </c:ser>
        <c:ser>
          <c:idx val="2"/>
          <c:order val="2"/>
          <c:tx>
            <c:strRef>
              <c:f>'Day 3 Charts Formating'!$E$2</c:f>
              <c:strCache>
                <c:ptCount val="1"/>
                <c:pt idx="0">
                  <c:v>UI</c:v>
                </c:pt>
              </c:strCache>
            </c:strRef>
          </c:tx>
          <c:cat>
            <c:multiLvlStrRef>
              <c:f>'Day 3 Charts Formating'!$A$3:$B$7</c:f>
              <c:multiLvlStrCache>
                <c:ptCount val="5"/>
                <c:lvl>
                  <c:pt idx="0">
                    <c:v>Pune</c:v>
                  </c:pt>
                  <c:pt idx="1">
                    <c:v>kolhapur</c:v>
                  </c:pt>
                  <c:pt idx="2">
                    <c:v>Mumbai</c:v>
                  </c:pt>
                  <c:pt idx="3">
                    <c:v>Pune</c:v>
                  </c:pt>
                  <c:pt idx="4">
                    <c:v>Pune</c:v>
                  </c:pt>
                </c:lvl>
                <c:lvl>
                  <c:pt idx="0">
                    <c:v>Mayur</c:v>
                  </c:pt>
                  <c:pt idx="1">
                    <c:v>Dixit</c:v>
                  </c:pt>
                  <c:pt idx="2">
                    <c:v>Partham</c:v>
                  </c:pt>
                  <c:pt idx="3">
                    <c:v>Saroj</c:v>
                  </c:pt>
                  <c:pt idx="4">
                    <c:v>Avdhoot</c:v>
                  </c:pt>
                </c:lvl>
              </c:multiLvlStrCache>
            </c:multiLvlStrRef>
          </c:cat>
          <c:val>
            <c:numRef>
              <c:f>'Day 3 Charts Formating'!$E$3:$E$7</c:f>
              <c:numCache>
                <c:formatCode>General</c:formatCode>
                <c:ptCount val="5"/>
                <c:pt idx="0">
                  <c:v>46</c:v>
                </c:pt>
                <c:pt idx="1">
                  <c:v>35</c:v>
                </c:pt>
                <c:pt idx="2">
                  <c:v>43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/>
      </c:ofPieChart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0A9C003-A27D-47F8-BEDF-39073B0196E4}" type="doc">
      <dgm:prSet loTypeId="urn:microsoft.com/office/officeart/2005/8/layout/pyramid2" loCatId="list" qsTypeId="urn:microsoft.com/office/officeart/2005/8/quickstyle/3d2" qsCatId="3D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C55C2C34-42AD-414A-ADA2-B1D016F605EB}">
      <dgm:prSet phldrT="[Text]"/>
      <dgm:spPr/>
      <dgm:t>
        <a:bodyPr/>
        <a:lstStyle/>
        <a:p>
          <a:r>
            <a:rPr lang="en-IN"/>
            <a:t>Python</a:t>
          </a:r>
        </a:p>
      </dgm:t>
    </dgm:pt>
    <dgm:pt modelId="{25FCED7E-C989-4293-8ED8-261107266DD6}" type="parTrans" cxnId="{B0894BE3-6CFC-4522-B93D-9FCC16EA7554}">
      <dgm:prSet/>
      <dgm:spPr/>
      <dgm:t>
        <a:bodyPr/>
        <a:lstStyle/>
        <a:p>
          <a:endParaRPr lang="en-IN"/>
        </a:p>
      </dgm:t>
    </dgm:pt>
    <dgm:pt modelId="{8F9FEBEE-E1F3-4012-9D4E-3040C9A35B67}" type="sibTrans" cxnId="{B0894BE3-6CFC-4522-B93D-9FCC16EA7554}">
      <dgm:prSet/>
      <dgm:spPr/>
      <dgm:t>
        <a:bodyPr/>
        <a:lstStyle/>
        <a:p>
          <a:endParaRPr lang="en-IN"/>
        </a:p>
      </dgm:t>
    </dgm:pt>
    <dgm:pt modelId="{D1047F2B-2902-49EF-8065-A14E37C76270}">
      <dgm:prSet phldrT="[Text]"/>
      <dgm:spPr/>
      <dgm:t>
        <a:bodyPr/>
        <a:lstStyle/>
        <a:p>
          <a:r>
            <a:rPr lang="en-IN"/>
            <a:t>Core Python</a:t>
          </a:r>
        </a:p>
      </dgm:t>
    </dgm:pt>
    <dgm:pt modelId="{F58083DD-5A46-40FE-BBFF-6176417738C2}" type="parTrans" cxnId="{2B19C15F-1C7A-4CAF-A7CE-43750FEF4D6C}">
      <dgm:prSet/>
      <dgm:spPr/>
      <dgm:t>
        <a:bodyPr/>
        <a:lstStyle/>
        <a:p>
          <a:endParaRPr lang="en-IN"/>
        </a:p>
      </dgm:t>
    </dgm:pt>
    <dgm:pt modelId="{3B67F5DC-52D5-4490-9224-586DD24B4338}" type="sibTrans" cxnId="{2B19C15F-1C7A-4CAF-A7CE-43750FEF4D6C}">
      <dgm:prSet/>
      <dgm:spPr/>
      <dgm:t>
        <a:bodyPr/>
        <a:lstStyle/>
        <a:p>
          <a:endParaRPr lang="en-IN"/>
        </a:p>
      </dgm:t>
    </dgm:pt>
    <dgm:pt modelId="{866C1AB7-31AA-427D-98EE-C4B2B6629095}">
      <dgm:prSet phldrT="[Text]"/>
      <dgm:spPr/>
      <dgm:t>
        <a:bodyPr/>
        <a:lstStyle/>
        <a:p>
          <a:r>
            <a:rPr lang="en-IN"/>
            <a:t>UI</a:t>
          </a:r>
        </a:p>
      </dgm:t>
    </dgm:pt>
    <dgm:pt modelId="{12AA6832-8C66-4C01-B46F-348454164302}" type="parTrans" cxnId="{0E8A2FDB-45D7-46CC-A136-8C93F1E5650F}">
      <dgm:prSet/>
      <dgm:spPr/>
      <dgm:t>
        <a:bodyPr/>
        <a:lstStyle/>
        <a:p>
          <a:endParaRPr lang="en-IN"/>
        </a:p>
      </dgm:t>
    </dgm:pt>
    <dgm:pt modelId="{FC3A587C-377B-4D55-A2BC-3960BC20F4E6}" type="sibTrans" cxnId="{0E8A2FDB-45D7-46CC-A136-8C93F1E5650F}">
      <dgm:prSet/>
      <dgm:spPr/>
      <dgm:t>
        <a:bodyPr/>
        <a:lstStyle/>
        <a:p>
          <a:endParaRPr lang="en-IN"/>
        </a:p>
      </dgm:t>
    </dgm:pt>
    <dgm:pt modelId="{24306994-5CD6-493A-AE32-9381E2ACA801}">
      <dgm:prSet phldrT="[Text]"/>
      <dgm:spPr/>
      <dgm:t>
        <a:bodyPr/>
        <a:lstStyle/>
        <a:p>
          <a:r>
            <a:rPr lang="en-IN"/>
            <a:t>HTML,CSS</a:t>
          </a:r>
        </a:p>
      </dgm:t>
    </dgm:pt>
    <dgm:pt modelId="{6C1B1C29-148C-4162-BBDA-38521A91AED2}" type="parTrans" cxnId="{41BB40CA-CCCC-436F-A8F8-2668B7613DFC}">
      <dgm:prSet/>
      <dgm:spPr/>
      <dgm:t>
        <a:bodyPr/>
        <a:lstStyle/>
        <a:p>
          <a:endParaRPr lang="en-IN"/>
        </a:p>
      </dgm:t>
    </dgm:pt>
    <dgm:pt modelId="{18046A2E-7608-4AD1-96CF-5E2799D91182}" type="sibTrans" cxnId="{41BB40CA-CCCC-436F-A8F8-2668B7613DFC}">
      <dgm:prSet/>
      <dgm:spPr/>
      <dgm:t>
        <a:bodyPr/>
        <a:lstStyle/>
        <a:p>
          <a:endParaRPr lang="en-IN"/>
        </a:p>
      </dgm:t>
    </dgm:pt>
    <dgm:pt modelId="{B506C4A7-1011-405D-A46F-673BCD34E86C}">
      <dgm:prSet phldrT="[Text]"/>
      <dgm:spPr/>
      <dgm:t>
        <a:bodyPr/>
        <a:lstStyle/>
        <a:p>
          <a:r>
            <a:rPr lang="en-IN"/>
            <a:t>APti</a:t>
          </a:r>
        </a:p>
      </dgm:t>
    </dgm:pt>
    <dgm:pt modelId="{4E52C5AC-718D-435A-983E-5A1C850B8038}" type="parTrans" cxnId="{B97A585D-E9C2-4A70-A111-C0234D609B1F}">
      <dgm:prSet/>
      <dgm:spPr/>
      <dgm:t>
        <a:bodyPr/>
        <a:lstStyle/>
        <a:p>
          <a:endParaRPr lang="en-IN"/>
        </a:p>
      </dgm:t>
    </dgm:pt>
    <dgm:pt modelId="{DA5F1E3A-1332-441D-9FCF-ACEE7CBE2B32}" type="sibTrans" cxnId="{B97A585D-E9C2-4A70-A111-C0234D609B1F}">
      <dgm:prSet/>
      <dgm:spPr/>
      <dgm:t>
        <a:bodyPr/>
        <a:lstStyle/>
        <a:p>
          <a:endParaRPr lang="en-IN"/>
        </a:p>
      </dgm:t>
    </dgm:pt>
    <dgm:pt modelId="{95D331C9-E44D-4F05-9414-F1B879D9BCDF}">
      <dgm:prSet phldrT="[Text]"/>
      <dgm:spPr/>
      <dgm:t>
        <a:bodyPr/>
        <a:lstStyle/>
        <a:p>
          <a:r>
            <a:rPr lang="en-IN"/>
            <a:t>Reasoning</a:t>
          </a:r>
        </a:p>
      </dgm:t>
    </dgm:pt>
    <dgm:pt modelId="{CDF05A43-9BBE-4377-9411-9170B7024186}" type="parTrans" cxnId="{C9CB6023-8A4E-4DFA-A1ED-DB09B7E4A3E9}">
      <dgm:prSet/>
      <dgm:spPr/>
      <dgm:t>
        <a:bodyPr/>
        <a:lstStyle/>
        <a:p>
          <a:endParaRPr lang="en-IN"/>
        </a:p>
      </dgm:t>
    </dgm:pt>
    <dgm:pt modelId="{79824A0F-2A88-4BD2-AD32-40B057D6EAEE}" type="sibTrans" cxnId="{C9CB6023-8A4E-4DFA-A1ED-DB09B7E4A3E9}">
      <dgm:prSet/>
      <dgm:spPr/>
      <dgm:t>
        <a:bodyPr/>
        <a:lstStyle/>
        <a:p>
          <a:endParaRPr lang="en-IN"/>
        </a:p>
      </dgm:t>
    </dgm:pt>
    <dgm:pt modelId="{F0397DD0-A2DF-4003-8FD9-F9FEEC322665}" type="pres">
      <dgm:prSet presAssocID="{F0A9C003-A27D-47F8-BEDF-39073B0196E4}" presName="compositeShape" presStyleCnt="0">
        <dgm:presLayoutVars>
          <dgm:dir/>
          <dgm:resizeHandles/>
        </dgm:presLayoutVars>
      </dgm:prSet>
      <dgm:spPr/>
    </dgm:pt>
    <dgm:pt modelId="{8BDF4954-9FCB-4EC1-8BC9-E147EDB9E489}" type="pres">
      <dgm:prSet presAssocID="{F0A9C003-A27D-47F8-BEDF-39073B0196E4}" presName="pyramid" presStyleLbl="node1" presStyleIdx="0" presStyleCnt="1"/>
      <dgm:spPr/>
    </dgm:pt>
    <dgm:pt modelId="{B599E7CE-E0E8-4FDA-8417-A23AACC10012}" type="pres">
      <dgm:prSet presAssocID="{F0A9C003-A27D-47F8-BEDF-39073B0196E4}" presName="theList" presStyleCnt="0"/>
      <dgm:spPr/>
    </dgm:pt>
    <dgm:pt modelId="{4958FE24-8901-4276-9D75-E899746789FA}" type="pres">
      <dgm:prSet presAssocID="{C55C2C34-42AD-414A-ADA2-B1D016F605EB}" presName="aNode" presStyleLbl="fgAcc1" presStyleIdx="0" presStyleCnt="3">
        <dgm:presLayoutVars>
          <dgm:bulletEnabled val="1"/>
        </dgm:presLayoutVars>
      </dgm:prSet>
      <dgm:spPr/>
    </dgm:pt>
    <dgm:pt modelId="{1ED40B22-C254-4A5A-8C1E-70ED5C9869D6}" type="pres">
      <dgm:prSet presAssocID="{C55C2C34-42AD-414A-ADA2-B1D016F605EB}" presName="aSpace" presStyleCnt="0"/>
      <dgm:spPr/>
    </dgm:pt>
    <dgm:pt modelId="{6DA17516-0923-4B64-8E77-A1E37BA8AE76}" type="pres">
      <dgm:prSet presAssocID="{866C1AB7-31AA-427D-98EE-C4B2B6629095}" presName="aNode" presStyleLbl="fgAcc1" presStyleIdx="1" presStyleCnt="3">
        <dgm:presLayoutVars>
          <dgm:bulletEnabled val="1"/>
        </dgm:presLayoutVars>
      </dgm:prSet>
      <dgm:spPr/>
    </dgm:pt>
    <dgm:pt modelId="{15F716AB-A14E-4746-95EB-B9635E889C36}" type="pres">
      <dgm:prSet presAssocID="{866C1AB7-31AA-427D-98EE-C4B2B6629095}" presName="aSpace" presStyleCnt="0"/>
      <dgm:spPr/>
    </dgm:pt>
    <dgm:pt modelId="{B146677D-AE63-42E5-A3C9-3C650B83F61F}" type="pres">
      <dgm:prSet presAssocID="{B506C4A7-1011-405D-A46F-673BCD34E86C}" presName="aNode" presStyleLbl="fgAcc1" presStyleIdx="2" presStyleCnt="3">
        <dgm:presLayoutVars>
          <dgm:bulletEnabled val="1"/>
        </dgm:presLayoutVars>
      </dgm:prSet>
      <dgm:spPr/>
    </dgm:pt>
    <dgm:pt modelId="{5ED093A0-9C94-4FEC-BA38-B8FFD2EAC144}" type="pres">
      <dgm:prSet presAssocID="{B506C4A7-1011-405D-A46F-673BCD34E86C}" presName="aSpace" presStyleCnt="0"/>
      <dgm:spPr/>
    </dgm:pt>
  </dgm:ptLst>
  <dgm:cxnLst>
    <dgm:cxn modelId="{8D66ED4E-F503-485B-95BF-4211880063F1}" type="presOf" srcId="{95D331C9-E44D-4F05-9414-F1B879D9BCDF}" destId="{B146677D-AE63-42E5-A3C9-3C650B83F61F}" srcOrd="0" destOrd="1" presId="urn:microsoft.com/office/officeart/2005/8/layout/pyramid2"/>
    <dgm:cxn modelId="{B97A585D-E9C2-4A70-A111-C0234D609B1F}" srcId="{F0A9C003-A27D-47F8-BEDF-39073B0196E4}" destId="{B506C4A7-1011-405D-A46F-673BCD34E86C}" srcOrd="2" destOrd="0" parTransId="{4E52C5AC-718D-435A-983E-5A1C850B8038}" sibTransId="{DA5F1E3A-1332-441D-9FCF-ACEE7CBE2B32}"/>
    <dgm:cxn modelId="{1B223813-EE83-470B-ADF0-F09136F5AF12}" type="presOf" srcId="{F0A9C003-A27D-47F8-BEDF-39073B0196E4}" destId="{F0397DD0-A2DF-4003-8FD9-F9FEEC322665}" srcOrd="0" destOrd="0" presId="urn:microsoft.com/office/officeart/2005/8/layout/pyramid2"/>
    <dgm:cxn modelId="{86360F76-92AA-4A98-AD4B-0C8754AA1F4D}" type="presOf" srcId="{C55C2C34-42AD-414A-ADA2-B1D016F605EB}" destId="{4958FE24-8901-4276-9D75-E899746789FA}" srcOrd="0" destOrd="0" presId="urn:microsoft.com/office/officeart/2005/8/layout/pyramid2"/>
    <dgm:cxn modelId="{039F50D5-1F68-4565-9ADB-D67E730C9FAF}" type="presOf" srcId="{866C1AB7-31AA-427D-98EE-C4B2B6629095}" destId="{6DA17516-0923-4B64-8E77-A1E37BA8AE76}" srcOrd="0" destOrd="0" presId="urn:microsoft.com/office/officeart/2005/8/layout/pyramid2"/>
    <dgm:cxn modelId="{0E8A2FDB-45D7-46CC-A136-8C93F1E5650F}" srcId="{F0A9C003-A27D-47F8-BEDF-39073B0196E4}" destId="{866C1AB7-31AA-427D-98EE-C4B2B6629095}" srcOrd="1" destOrd="0" parTransId="{12AA6832-8C66-4C01-B46F-348454164302}" sibTransId="{FC3A587C-377B-4D55-A2BC-3960BC20F4E6}"/>
    <dgm:cxn modelId="{B0894BE3-6CFC-4522-B93D-9FCC16EA7554}" srcId="{F0A9C003-A27D-47F8-BEDF-39073B0196E4}" destId="{C55C2C34-42AD-414A-ADA2-B1D016F605EB}" srcOrd="0" destOrd="0" parTransId="{25FCED7E-C989-4293-8ED8-261107266DD6}" sibTransId="{8F9FEBEE-E1F3-4012-9D4E-3040C9A35B67}"/>
    <dgm:cxn modelId="{96405214-0A6E-4E1D-B7AB-26F269885297}" type="presOf" srcId="{24306994-5CD6-493A-AE32-9381E2ACA801}" destId="{6DA17516-0923-4B64-8E77-A1E37BA8AE76}" srcOrd="0" destOrd="1" presId="urn:microsoft.com/office/officeart/2005/8/layout/pyramid2"/>
    <dgm:cxn modelId="{41BB40CA-CCCC-436F-A8F8-2668B7613DFC}" srcId="{866C1AB7-31AA-427D-98EE-C4B2B6629095}" destId="{24306994-5CD6-493A-AE32-9381E2ACA801}" srcOrd="0" destOrd="0" parTransId="{6C1B1C29-148C-4162-BBDA-38521A91AED2}" sibTransId="{18046A2E-7608-4AD1-96CF-5E2799D91182}"/>
    <dgm:cxn modelId="{5507742B-CB96-478C-9EA9-0FC65CD7D829}" type="presOf" srcId="{D1047F2B-2902-49EF-8065-A14E37C76270}" destId="{4958FE24-8901-4276-9D75-E899746789FA}" srcOrd="0" destOrd="1" presId="urn:microsoft.com/office/officeart/2005/8/layout/pyramid2"/>
    <dgm:cxn modelId="{2B19C15F-1C7A-4CAF-A7CE-43750FEF4D6C}" srcId="{C55C2C34-42AD-414A-ADA2-B1D016F605EB}" destId="{D1047F2B-2902-49EF-8065-A14E37C76270}" srcOrd="0" destOrd="0" parTransId="{F58083DD-5A46-40FE-BBFF-6176417738C2}" sibTransId="{3B67F5DC-52D5-4490-9224-586DD24B4338}"/>
    <dgm:cxn modelId="{C9CB6023-8A4E-4DFA-A1ED-DB09B7E4A3E9}" srcId="{B506C4A7-1011-405D-A46F-673BCD34E86C}" destId="{95D331C9-E44D-4F05-9414-F1B879D9BCDF}" srcOrd="0" destOrd="0" parTransId="{CDF05A43-9BBE-4377-9411-9170B7024186}" sibTransId="{79824A0F-2A88-4BD2-AD32-40B057D6EAEE}"/>
    <dgm:cxn modelId="{017DD94A-6BDC-470D-9885-E50C41A5358C}" type="presOf" srcId="{B506C4A7-1011-405D-A46F-673BCD34E86C}" destId="{B146677D-AE63-42E5-A3C9-3C650B83F61F}" srcOrd="0" destOrd="0" presId="urn:microsoft.com/office/officeart/2005/8/layout/pyramid2"/>
    <dgm:cxn modelId="{D6C1D352-903B-4C97-A54F-A1FEBA9AD028}" type="presParOf" srcId="{F0397DD0-A2DF-4003-8FD9-F9FEEC322665}" destId="{8BDF4954-9FCB-4EC1-8BC9-E147EDB9E489}" srcOrd="0" destOrd="0" presId="urn:microsoft.com/office/officeart/2005/8/layout/pyramid2"/>
    <dgm:cxn modelId="{FAAF7CD6-B7F2-4C75-9042-CE8E2C4C725E}" type="presParOf" srcId="{F0397DD0-A2DF-4003-8FD9-F9FEEC322665}" destId="{B599E7CE-E0E8-4FDA-8417-A23AACC10012}" srcOrd="1" destOrd="0" presId="urn:microsoft.com/office/officeart/2005/8/layout/pyramid2"/>
    <dgm:cxn modelId="{ECA44FF1-2422-44DD-B5EF-9BEAA8A8EFB4}" type="presParOf" srcId="{B599E7CE-E0E8-4FDA-8417-A23AACC10012}" destId="{4958FE24-8901-4276-9D75-E899746789FA}" srcOrd="0" destOrd="0" presId="urn:microsoft.com/office/officeart/2005/8/layout/pyramid2"/>
    <dgm:cxn modelId="{5F1DD36B-61E0-4037-9738-EE7EBC6DC74C}" type="presParOf" srcId="{B599E7CE-E0E8-4FDA-8417-A23AACC10012}" destId="{1ED40B22-C254-4A5A-8C1E-70ED5C9869D6}" srcOrd="1" destOrd="0" presId="urn:microsoft.com/office/officeart/2005/8/layout/pyramid2"/>
    <dgm:cxn modelId="{42726D30-4E42-4237-9612-34EE51DCC09B}" type="presParOf" srcId="{B599E7CE-E0E8-4FDA-8417-A23AACC10012}" destId="{6DA17516-0923-4B64-8E77-A1E37BA8AE76}" srcOrd="2" destOrd="0" presId="urn:microsoft.com/office/officeart/2005/8/layout/pyramid2"/>
    <dgm:cxn modelId="{5D2A327F-664D-46F0-8AA0-32CCD6139387}" type="presParOf" srcId="{B599E7CE-E0E8-4FDA-8417-A23AACC10012}" destId="{15F716AB-A14E-4746-95EB-B9635E889C36}" srcOrd="3" destOrd="0" presId="urn:microsoft.com/office/officeart/2005/8/layout/pyramid2"/>
    <dgm:cxn modelId="{B2E760CC-1640-4CBD-8D0E-7AAABB6005D8}" type="presParOf" srcId="{B599E7CE-E0E8-4FDA-8417-A23AACC10012}" destId="{B146677D-AE63-42E5-A3C9-3C650B83F61F}" srcOrd="4" destOrd="0" presId="urn:microsoft.com/office/officeart/2005/8/layout/pyramid2"/>
    <dgm:cxn modelId="{E1871FAC-6524-4291-B7A0-0E1C2C5AA562}" type="presParOf" srcId="{B599E7CE-E0E8-4FDA-8417-A23AACC10012}" destId="{5ED093A0-9C94-4FEC-BA38-B8FFD2EAC144}" srcOrd="5" destOrd="0" presId="urn:microsoft.com/office/officeart/2005/8/layout/pyramid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BDF4954-9FCB-4EC1-8BC9-E147EDB9E489}">
      <dsp:nvSpPr>
        <dsp:cNvPr id="0" name=""/>
        <dsp:cNvSpPr/>
      </dsp:nvSpPr>
      <dsp:spPr>
        <a:xfrm>
          <a:off x="708659" y="0"/>
          <a:ext cx="2743200" cy="2743200"/>
        </a:xfrm>
        <a:prstGeom prst="triangle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4958FE24-8901-4276-9D75-E899746789FA}">
      <dsp:nvSpPr>
        <dsp:cNvPr id="0" name=""/>
        <dsp:cNvSpPr/>
      </dsp:nvSpPr>
      <dsp:spPr>
        <a:xfrm>
          <a:off x="2080259" y="275793"/>
          <a:ext cx="1783080" cy="649366"/>
        </a:xfrm>
        <a:prstGeom prst="round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lvl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1500" kern="1200"/>
            <a:t>Python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IN" sz="1200" kern="1200"/>
            <a:t>Core Python</a:t>
          </a:r>
        </a:p>
      </dsp:txBody>
      <dsp:txXfrm>
        <a:off x="2111958" y="307492"/>
        <a:ext cx="1719682" cy="585968"/>
      </dsp:txXfrm>
    </dsp:sp>
    <dsp:sp modelId="{6DA17516-0923-4B64-8E77-A1E37BA8AE76}">
      <dsp:nvSpPr>
        <dsp:cNvPr id="0" name=""/>
        <dsp:cNvSpPr/>
      </dsp:nvSpPr>
      <dsp:spPr>
        <a:xfrm>
          <a:off x="2080259" y="1006331"/>
          <a:ext cx="1783080" cy="649366"/>
        </a:xfrm>
        <a:prstGeom prst="round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lvl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1500" kern="1200"/>
            <a:t>UI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IN" sz="1200" kern="1200"/>
            <a:t>HTML,CSS</a:t>
          </a:r>
        </a:p>
      </dsp:txBody>
      <dsp:txXfrm>
        <a:off x="2111958" y="1038030"/>
        <a:ext cx="1719682" cy="585968"/>
      </dsp:txXfrm>
    </dsp:sp>
    <dsp:sp modelId="{B146677D-AE63-42E5-A3C9-3C650B83F61F}">
      <dsp:nvSpPr>
        <dsp:cNvPr id="0" name=""/>
        <dsp:cNvSpPr/>
      </dsp:nvSpPr>
      <dsp:spPr>
        <a:xfrm>
          <a:off x="2080259" y="1736868"/>
          <a:ext cx="1783080" cy="649366"/>
        </a:xfrm>
        <a:prstGeom prst="round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t" anchorCtr="0">
          <a:noAutofit/>
        </a:bodyPr>
        <a:lstStyle/>
        <a:p>
          <a:pPr lvl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1500" kern="1200"/>
            <a:t>APti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IN" sz="1200" kern="1200"/>
            <a:t>Reasoning</a:t>
          </a:r>
        </a:p>
      </dsp:txBody>
      <dsp:txXfrm>
        <a:off x="2111958" y="1768567"/>
        <a:ext cx="1719682" cy="58596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2">
  <dgm:title val=""/>
  <dgm:desc val=""/>
  <dgm:catLst>
    <dgm:cat type="pyramid" pri="3000"/>
    <dgm:cat type="list" pri="21000"/>
    <dgm:cat type="convert" pri="17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compositeShape">
    <dgm:alg type="composite"/>
    <dgm:shape xmlns:r="http://schemas.openxmlformats.org/officeDocument/2006/relationships" r:blip="">
      <dgm:adjLst/>
    </dgm:shape>
    <dgm:presOf/>
    <dgm:varLst>
      <dgm:dir/>
      <dgm:resizeHandles/>
    </dgm:varLst>
    <dgm:choose name="Name0">
      <dgm:if name="Name1" func="var" arg="dir" op="equ" val="norm">
        <dgm:constrLst>
          <dgm:constr type="w" for="ch" forName="pyramid" refType="h"/>
          <dgm:constr type="h" for="ch" forName="pyramid" refType="h"/>
          <dgm:constr type="h" for="ch" forName="theList" refType="h" fact="0.8"/>
          <dgm:constr type="w" for="ch" forName="theList" refType="h" fact="0.65"/>
          <dgm:constr type="ctrY" for="ch" forName="theList" refType="h" refFor="ch" refForName="pyramid" fact="0.5"/>
          <dgm:constr type="l" for="ch" forName="theList" refType="w" refFor="ch" refForName="pyramid" fact="0.5"/>
          <dgm:constr type="h" for="des" forName="aSpace" refType="h" fact="0.1"/>
        </dgm:constrLst>
      </dgm:if>
      <dgm:else name="Name2">
        <dgm:constrLst>
          <dgm:constr type="w" for="ch" forName="pyramid" refType="h"/>
          <dgm:constr type="h" for="ch" forName="pyramid" refType="h"/>
          <dgm:constr type="h" for="ch" forName="theList" refType="h" fact="0.8"/>
          <dgm:constr type="w" for="ch" forName="theList" refType="h" fact="0.65"/>
          <dgm:constr type="ctrY" for="ch" forName="theList" refType="h" refFor="ch" refForName="pyramid" fact="0.5"/>
          <dgm:constr type="r" for="ch" forName="theList" refType="w" refFor="ch" refForName="pyramid" fact="0.5"/>
          <dgm:constr type="h" for="des" forName="aSpace" refType="h" fact="0.1"/>
        </dgm:constrLst>
      </dgm:else>
    </dgm:choose>
    <dgm:ruleLst/>
    <dgm:choose name="Name3">
      <dgm:if name="Name4" axis="ch" ptType="node" func="cnt" op="gte" val="1">
        <dgm:layoutNode name="pyramid" styleLbl="node1">
          <dgm:alg type="sp"/>
          <dgm:shape xmlns:r="http://schemas.openxmlformats.org/officeDocument/2006/relationships" type="triangle" r:blip="">
            <dgm:adjLst/>
          </dgm:shape>
          <dgm:presOf/>
          <dgm:constrLst/>
          <dgm:ruleLst/>
        </dgm:layoutNode>
        <dgm:layoutNode name="theList">
          <dgm:alg type="lin">
            <dgm:param type="linDir" val="fromT"/>
          </dgm:alg>
          <dgm:shape xmlns:r="http://schemas.openxmlformats.org/officeDocument/2006/relationships" r:blip="">
            <dgm:adjLst/>
          </dgm:shape>
          <dgm:presOf/>
          <dgm:constrLst>
            <dgm:constr type="w" for="ch" forName="aNode" refType="w"/>
            <dgm:constr type="h" for="ch" forName="aNode" refType="h"/>
            <dgm:constr type="primFontSz" for="ch" ptType="node" op="equ"/>
          </dgm:constrLst>
          <dgm:ruleLst/>
          <dgm:forEach name="aNodeForEach" axis="ch" ptType="node">
            <dgm:layoutNode name="aNode" styleLbl="fgAcc1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  <dgm:layoutNode name="a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97117</xdr:colOff>
      <xdr:row>0</xdr:row>
      <xdr:rowOff>59768</xdr:rowOff>
    </xdr:from>
    <xdr:to>
      <xdr:col>17</xdr:col>
      <xdr:colOff>194702</xdr:colOff>
      <xdr:row>15</xdr:row>
      <xdr:rowOff>1862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190501</xdr:colOff>
      <xdr:row>0</xdr:row>
      <xdr:rowOff>193488</xdr:rowOff>
    </xdr:from>
    <xdr:to>
      <xdr:col>25</xdr:col>
      <xdr:colOff>474383</xdr:colOff>
      <xdr:row>15</xdr:row>
      <xdr:rowOff>90394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15</xdr:row>
      <xdr:rowOff>111312</xdr:rowOff>
    </xdr:from>
    <xdr:to>
      <xdr:col>14</xdr:col>
      <xdr:colOff>474383</xdr:colOff>
      <xdr:row>30</xdr:row>
      <xdr:rowOff>53041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138206</xdr:colOff>
      <xdr:row>16</xdr:row>
      <xdr:rowOff>44077</xdr:rowOff>
    </xdr:from>
    <xdr:to>
      <xdr:col>22</xdr:col>
      <xdr:colOff>422089</xdr:colOff>
      <xdr:row>30</xdr:row>
      <xdr:rowOff>172571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220382</xdr:colOff>
      <xdr:row>16</xdr:row>
      <xdr:rowOff>66488</xdr:rowOff>
    </xdr:from>
    <xdr:to>
      <xdr:col>30</xdr:col>
      <xdr:colOff>504264</xdr:colOff>
      <xdr:row>31</xdr:row>
      <xdr:rowOff>8218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47625</xdr:rowOff>
    </xdr:from>
    <xdr:to>
      <xdr:col>10</xdr:col>
      <xdr:colOff>114300</xdr:colOff>
      <xdr:row>14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415925</xdr:colOff>
      <xdr:row>0</xdr:row>
      <xdr:rowOff>85725</xdr:rowOff>
    </xdr:from>
    <xdr:to>
      <xdr:col>18</xdr:col>
      <xdr:colOff>111125</xdr:colOff>
      <xdr:row>15</xdr:row>
      <xdr:rowOff>22225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15</xdr:row>
      <xdr:rowOff>104775</xdr:rowOff>
    </xdr:from>
    <xdr:to>
      <xdr:col>6</xdr:col>
      <xdr:colOff>323850</xdr:colOff>
      <xdr:row>30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574675</xdr:colOff>
      <xdr:row>15</xdr:row>
      <xdr:rowOff>111125</xdr:rowOff>
    </xdr:from>
    <xdr:to>
      <xdr:col>13</xdr:col>
      <xdr:colOff>57150</xdr:colOff>
      <xdr:row>30</xdr:row>
      <xdr:rowOff>92075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228600</xdr:colOff>
      <xdr:row>15</xdr:row>
      <xdr:rowOff>120650</xdr:rowOff>
    </xdr:from>
    <xdr:to>
      <xdr:col>19</xdr:col>
      <xdr:colOff>320675</xdr:colOff>
      <xdr:row>30</xdr:row>
      <xdr:rowOff>101600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399143</xdr:colOff>
      <xdr:row>1</xdr:row>
      <xdr:rowOff>56243</xdr:rowOff>
    </xdr:from>
    <xdr:to>
      <xdr:col>16</xdr:col>
      <xdr:colOff>387804</xdr:colOff>
      <xdr:row>16</xdr:row>
      <xdr:rowOff>37193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16</xdr:row>
      <xdr:rowOff>146050</xdr:rowOff>
    </xdr:from>
    <xdr:to>
      <xdr:col>16</xdr:col>
      <xdr:colOff>53975</xdr:colOff>
      <xdr:row>31</xdr:row>
      <xdr:rowOff>127000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362858</xdr:colOff>
      <xdr:row>23</xdr:row>
      <xdr:rowOff>24494</xdr:rowOff>
    </xdr:from>
    <xdr:to>
      <xdr:col>9</xdr:col>
      <xdr:colOff>222704</xdr:colOff>
      <xdr:row>38</xdr:row>
      <xdr:rowOff>8165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390072</xdr:colOff>
      <xdr:row>1</xdr:row>
      <xdr:rowOff>50800</xdr:rowOff>
    </xdr:from>
    <xdr:to>
      <xdr:col>7</xdr:col>
      <xdr:colOff>517072</xdr:colOff>
      <xdr:row>16</xdr:row>
      <xdr:rowOff>31750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11792</xdr:colOff>
      <xdr:row>1</xdr:row>
      <xdr:rowOff>116114</xdr:rowOff>
    </xdr:from>
    <xdr:to>
      <xdr:col>27</xdr:col>
      <xdr:colOff>45356</xdr:colOff>
      <xdr:row>16</xdr:row>
      <xdr:rowOff>97064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344714</xdr:colOff>
      <xdr:row>17</xdr:row>
      <xdr:rowOff>18143</xdr:rowOff>
    </xdr:from>
    <xdr:to>
      <xdr:col>22</xdr:col>
      <xdr:colOff>453571</xdr:colOff>
      <xdr:row>32</xdr:row>
      <xdr:rowOff>1815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34</xdr:row>
      <xdr:rowOff>0</xdr:rowOff>
    </xdr:from>
    <xdr:to>
      <xdr:col>8</xdr:col>
      <xdr:colOff>92074</xdr:colOff>
      <xdr:row>48</xdr:row>
      <xdr:rowOff>165100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16</xdr:col>
      <xdr:colOff>92075</xdr:colOff>
      <xdr:row>48</xdr:row>
      <xdr:rowOff>165100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585561</xdr:colOff>
      <xdr:row>16</xdr:row>
      <xdr:rowOff>124278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585561</xdr:colOff>
      <xdr:row>16</xdr:row>
      <xdr:rowOff>124278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7</xdr:col>
      <xdr:colOff>585561</xdr:colOff>
      <xdr:row>33</xdr:row>
      <xdr:rowOff>124278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15</xdr:col>
      <xdr:colOff>585561</xdr:colOff>
      <xdr:row>33</xdr:row>
      <xdr:rowOff>124278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590177</xdr:colOff>
      <xdr:row>3</xdr:row>
      <xdr:rowOff>134471</xdr:rowOff>
    </xdr:from>
    <xdr:to>
      <xdr:col>6</xdr:col>
      <xdr:colOff>66489</xdr:colOff>
      <xdr:row>15</xdr:row>
      <xdr:rowOff>119156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249144</xdr:colOff>
      <xdr:row>3</xdr:row>
      <xdr:rowOff>125879</xdr:rowOff>
    </xdr:from>
    <xdr:to>
      <xdr:col>13</xdr:col>
      <xdr:colOff>363444</xdr:colOff>
      <xdr:row>15</xdr:row>
      <xdr:rowOff>138579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539750</xdr:colOff>
      <xdr:row>16</xdr:row>
      <xdr:rowOff>149412</xdr:rowOff>
    </xdr:from>
    <xdr:to>
      <xdr:col>8</xdr:col>
      <xdr:colOff>44450</xdr:colOff>
      <xdr:row>29</xdr:row>
      <xdr:rowOff>124278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165100</xdr:colOff>
      <xdr:row>16</xdr:row>
      <xdr:rowOff>179294</xdr:rowOff>
    </xdr:from>
    <xdr:to>
      <xdr:col>15</xdr:col>
      <xdr:colOff>279400</xdr:colOff>
      <xdr:row>29</xdr:row>
      <xdr:rowOff>162378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515097</xdr:colOff>
      <xdr:row>3</xdr:row>
      <xdr:rowOff>134471</xdr:rowOff>
    </xdr:from>
    <xdr:to>
      <xdr:col>22</xdr:col>
      <xdr:colOff>395941</xdr:colOff>
      <xdr:row>15</xdr:row>
      <xdr:rowOff>140821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463176</xdr:colOff>
      <xdr:row>17</xdr:row>
      <xdr:rowOff>52294</xdr:rowOff>
    </xdr:from>
    <xdr:to>
      <xdr:col>22</xdr:col>
      <xdr:colOff>577477</xdr:colOff>
      <xdr:row>29</xdr:row>
      <xdr:rowOff>58645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590177</xdr:colOff>
      <xdr:row>3</xdr:row>
      <xdr:rowOff>134471</xdr:rowOff>
    </xdr:from>
    <xdr:to>
      <xdr:col>6</xdr:col>
      <xdr:colOff>66489</xdr:colOff>
      <xdr:row>15</xdr:row>
      <xdr:rowOff>119156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249144</xdr:colOff>
      <xdr:row>3</xdr:row>
      <xdr:rowOff>125879</xdr:rowOff>
    </xdr:from>
    <xdr:to>
      <xdr:col>13</xdr:col>
      <xdr:colOff>363444</xdr:colOff>
      <xdr:row>15</xdr:row>
      <xdr:rowOff>138579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539750</xdr:colOff>
      <xdr:row>16</xdr:row>
      <xdr:rowOff>149412</xdr:rowOff>
    </xdr:from>
    <xdr:to>
      <xdr:col>8</xdr:col>
      <xdr:colOff>44450</xdr:colOff>
      <xdr:row>29</xdr:row>
      <xdr:rowOff>124278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165100</xdr:colOff>
      <xdr:row>16</xdr:row>
      <xdr:rowOff>179294</xdr:rowOff>
    </xdr:from>
    <xdr:to>
      <xdr:col>15</xdr:col>
      <xdr:colOff>279400</xdr:colOff>
      <xdr:row>29</xdr:row>
      <xdr:rowOff>162378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515097</xdr:colOff>
      <xdr:row>3</xdr:row>
      <xdr:rowOff>134471</xdr:rowOff>
    </xdr:from>
    <xdr:to>
      <xdr:col>22</xdr:col>
      <xdr:colOff>395941</xdr:colOff>
      <xdr:row>15</xdr:row>
      <xdr:rowOff>140821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463176</xdr:colOff>
      <xdr:row>17</xdr:row>
      <xdr:rowOff>52294</xdr:rowOff>
    </xdr:from>
    <xdr:to>
      <xdr:col>22</xdr:col>
      <xdr:colOff>577477</xdr:colOff>
      <xdr:row>29</xdr:row>
      <xdr:rowOff>58645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590177</xdr:colOff>
      <xdr:row>3</xdr:row>
      <xdr:rowOff>134471</xdr:rowOff>
    </xdr:from>
    <xdr:to>
      <xdr:col>6</xdr:col>
      <xdr:colOff>66489</xdr:colOff>
      <xdr:row>15</xdr:row>
      <xdr:rowOff>119156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249144</xdr:colOff>
      <xdr:row>3</xdr:row>
      <xdr:rowOff>125879</xdr:rowOff>
    </xdr:from>
    <xdr:to>
      <xdr:col>13</xdr:col>
      <xdr:colOff>363444</xdr:colOff>
      <xdr:row>15</xdr:row>
      <xdr:rowOff>138579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539750</xdr:colOff>
      <xdr:row>16</xdr:row>
      <xdr:rowOff>149412</xdr:rowOff>
    </xdr:from>
    <xdr:to>
      <xdr:col>8</xdr:col>
      <xdr:colOff>44450</xdr:colOff>
      <xdr:row>29</xdr:row>
      <xdr:rowOff>124278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165100</xdr:colOff>
      <xdr:row>16</xdr:row>
      <xdr:rowOff>179294</xdr:rowOff>
    </xdr:from>
    <xdr:to>
      <xdr:col>15</xdr:col>
      <xdr:colOff>279400</xdr:colOff>
      <xdr:row>29</xdr:row>
      <xdr:rowOff>162378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515097</xdr:colOff>
      <xdr:row>3</xdr:row>
      <xdr:rowOff>134471</xdr:rowOff>
    </xdr:from>
    <xdr:to>
      <xdr:col>22</xdr:col>
      <xdr:colOff>395941</xdr:colOff>
      <xdr:row>15</xdr:row>
      <xdr:rowOff>140821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463176</xdr:colOff>
      <xdr:row>17</xdr:row>
      <xdr:rowOff>52294</xdr:rowOff>
    </xdr:from>
    <xdr:to>
      <xdr:col>22</xdr:col>
      <xdr:colOff>577477</xdr:colOff>
      <xdr:row>29</xdr:row>
      <xdr:rowOff>58645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20</xdr:row>
      <xdr:rowOff>101600</xdr:rowOff>
    </xdr:from>
    <xdr:to>
      <xdr:col>5</xdr:col>
      <xdr:colOff>479777</xdr:colOff>
      <xdr:row>30</xdr:row>
      <xdr:rowOff>70103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300" y="3784600"/>
          <a:ext cx="2524477" cy="1810003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36195" dist="12700" dir="11400000" algn="tl" rotWithShape="0">
            <a:srgbClr val="000000">
              <a:alpha val="33000"/>
            </a:srgbClr>
          </a:outerShdw>
        </a:effectLst>
        <a:scene3d>
          <a:camera prst="perspectiveContrastingLeftFacing">
            <a:rot lat="540000" lon="2100000" rev="0"/>
          </a:camera>
          <a:lightRig rig="soft" dir="t"/>
        </a:scene3d>
        <a:sp3d contourW="12700" prstMaterial="matte">
          <a:bevelT w="63500" h="50800"/>
          <a:contourClr>
            <a:srgbClr val="C0C0C0"/>
          </a:contourClr>
        </a:sp3d>
      </xdr:spPr>
    </xdr:pic>
    <xdr:clientData/>
  </xdr:twoCellAnchor>
  <xdr:twoCellAnchor editAs="oneCell">
    <xdr:from>
      <xdr:col>7</xdr:col>
      <xdr:colOff>88900</xdr:colOff>
      <xdr:row>1</xdr:row>
      <xdr:rowOff>38100</xdr:rowOff>
    </xdr:from>
    <xdr:to>
      <xdr:col>11</xdr:col>
      <xdr:colOff>260350</xdr:colOff>
      <xdr:row>16</xdr:row>
      <xdr:rowOff>38100</xdr:rowOff>
    </xdr:to>
    <xdr:pic>
      <xdr:nvPicPr>
        <xdr:cNvPr id="3" name="Picture 2" descr="C:\Program Files (x86)\Microsoft Office\MEDIA\CAGCAT10\j0315447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100" y="222250"/>
          <a:ext cx="2609850" cy="27622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254000</xdr:colOff>
      <xdr:row>0</xdr:row>
      <xdr:rowOff>152400</xdr:rowOff>
    </xdr:from>
    <xdr:to>
      <xdr:col>2</xdr:col>
      <xdr:colOff>558800</xdr:colOff>
      <xdr:row>5</xdr:row>
      <xdr:rowOff>146050</xdr:rowOff>
    </xdr:to>
    <xdr:sp macro="" textlink="">
      <xdr:nvSpPr>
        <xdr:cNvPr id="4" name="Donut 3"/>
        <xdr:cNvSpPr/>
      </xdr:nvSpPr>
      <xdr:spPr>
        <a:xfrm>
          <a:off x="863600" y="152400"/>
          <a:ext cx="914400" cy="914400"/>
        </a:xfrm>
        <a:prstGeom prst="donu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508000</xdr:colOff>
      <xdr:row>17</xdr:row>
      <xdr:rowOff>60325</xdr:rowOff>
    </xdr:from>
    <xdr:to>
      <xdr:col>13</xdr:col>
      <xdr:colOff>203200</xdr:colOff>
      <xdr:row>32</xdr:row>
      <xdr:rowOff>41275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36:E44" totalsRowCount="1">
  <autoFilter ref="A36:E43"/>
  <tableColumns count="5">
    <tableColumn id="1" name="SR" totalsRowLabel="Total"/>
    <tableColumn id="2" name="Name"/>
    <tableColumn id="3" name="Add"/>
    <tableColumn id="4" name="Column4"/>
    <tableColumn id="5" name="Column5" totalsRowFunction="count"/>
  </tableColumns>
  <tableStyleInfo name="TableStyleMedium9" showFirstColumn="1" showLastColumn="1" showRowStripes="1" showColumnStripes="0"/>
</table>
</file>

<file path=xl/tables/table2.xml><?xml version="1.0" encoding="utf-8"?>
<table xmlns="http://schemas.openxmlformats.org/spreadsheetml/2006/main" id="1" name="Table1" displayName="Table1" ref="H30:M35" totalsRowShown="0" headerRowDxfId="7" headerRowBorderDxfId="15" tableBorderDxfId="16" totalsRowBorderDxfId="14">
  <autoFilter ref="H30:M35"/>
  <sortState ref="H31:M35">
    <sortCondition ref="L30:L35"/>
  </sortState>
  <tableColumns count="6">
    <tableColumn id="1" name="SR" dataDxfId="13"/>
    <tableColumn id="2" name="Name" dataDxfId="12"/>
    <tableColumn id="3" name="Address" dataDxfId="11"/>
    <tableColumn id="4" name="Python" dataDxfId="10"/>
    <tableColumn id="5" name="excel" dataDxfId="9"/>
    <tableColumn id="6" name="UI" dataDxfId="8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yu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D36" zoomScale="190" zoomScaleNormal="190" workbookViewId="0">
      <selection activeCell="A16" sqref="A16"/>
    </sheetView>
  </sheetViews>
  <sheetFormatPr defaultRowHeight="14.5" x14ac:dyDescent="0.35"/>
  <cols>
    <col min="1" max="5" width="8.81640625" customWidth="1"/>
    <col min="7" max="7" width="11.6328125" bestFit="1" customWidth="1"/>
  </cols>
  <sheetData>
    <row r="1" spans="1:13" ht="15" thickBot="1" x14ac:dyDescent="0.4"/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3" t="s">
        <v>0</v>
      </c>
      <c r="I2" s="4" t="s">
        <v>1</v>
      </c>
      <c r="J2" s="4" t="s">
        <v>2</v>
      </c>
      <c r="K2" s="4" t="s">
        <v>3</v>
      </c>
      <c r="L2" s="4" t="s">
        <v>4</v>
      </c>
      <c r="M2" s="5" t="s">
        <v>5</v>
      </c>
    </row>
    <row r="3" spans="1:13" x14ac:dyDescent="0.35">
      <c r="A3" s="1">
        <v>1</v>
      </c>
      <c r="B3" s="1" t="s">
        <v>6</v>
      </c>
      <c r="C3" s="1" t="s">
        <v>7</v>
      </c>
      <c r="D3" s="1">
        <v>44</v>
      </c>
      <c r="E3" s="1">
        <v>45</v>
      </c>
      <c r="F3" s="1">
        <v>46</v>
      </c>
      <c r="H3" s="6">
        <v>1</v>
      </c>
      <c r="I3" s="2" t="s">
        <v>6</v>
      </c>
      <c r="J3" s="2" t="s">
        <v>7</v>
      </c>
      <c r="K3" s="2">
        <v>44</v>
      </c>
      <c r="L3" s="2">
        <v>45</v>
      </c>
      <c r="M3" s="7">
        <v>46</v>
      </c>
    </row>
    <row r="4" spans="1:13" x14ac:dyDescent="0.35">
      <c r="A4" s="1">
        <v>2</v>
      </c>
      <c r="B4" s="1" t="s">
        <v>8</v>
      </c>
      <c r="C4" s="1" t="s">
        <v>9</v>
      </c>
      <c r="D4" s="1">
        <v>40</v>
      </c>
      <c r="E4" s="1">
        <v>45</v>
      </c>
      <c r="F4" s="1">
        <v>35</v>
      </c>
      <c r="H4" s="6">
        <v>2</v>
      </c>
      <c r="I4" s="2" t="s">
        <v>8</v>
      </c>
      <c r="J4" s="2" t="s">
        <v>9</v>
      </c>
      <c r="K4" s="2">
        <v>40</v>
      </c>
      <c r="L4" s="2">
        <v>45</v>
      </c>
      <c r="M4" s="7">
        <v>35</v>
      </c>
    </row>
    <row r="5" spans="1:13" x14ac:dyDescent="0.35">
      <c r="A5" s="1">
        <v>3</v>
      </c>
      <c r="B5" s="1" t="s">
        <v>10</v>
      </c>
      <c r="C5" s="1" t="s">
        <v>11</v>
      </c>
      <c r="D5" s="1">
        <v>48</v>
      </c>
      <c r="E5" s="1">
        <v>45</v>
      </c>
      <c r="F5" s="1">
        <v>43</v>
      </c>
      <c r="H5" s="6">
        <v>3</v>
      </c>
      <c r="I5" s="2" t="s">
        <v>10</v>
      </c>
      <c r="J5" s="2" t="s">
        <v>11</v>
      </c>
      <c r="K5" s="2">
        <v>48</v>
      </c>
      <c r="L5" s="2">
        <v>45</v>
      </c>
      <c r="M5" s="7">
        <v>43</v>
      </c>
    </row>
    <row r="6" spans="1:13" x14ac:dyDescent="0.35">
      <c r="A6" s="1">
        <v>4</v>
      </c>
      <c r="B6" s="1" t="s">
        <v>12</v>
      </c>
      <c r="C6" s="1" t="s">
        <v>7</v>
      </c>
      <c r="D6" s="1">
        <v>47</v>
      </c>
      <c r="E6" s="1">
        <v>45</v>
      </c>
      <c r="F6" s="1">
        <v>32</v>
      </c>
      <c r="H6" s="6">
        <v>4</v>
      </c>
      <c r="I6" s="2" t="s">
        <v>12</v>
      </c>
      <c r="J6" s="2" t="s">
        <v>7</v>
      </c>
      <c r="K6" s="2">
        <v>47</v>
      </c>
      <c r="L6" s="2">
        <v>45</v>
      </c>
      <c r="M6" s="7">
        <v>32</v>
      </c>
    </row>
    <row r="7" spans="1:13" ht="15" thickBot="1" x14ac:dyDescent="0.4">
      <c r="A7" s="1">
        <v>5</v>
      </c>
      <c r="B7" s="1" t="s">
        <v>13</v>
      </c>
      <c r="C7" s="1" t="s">
        <v>7</v>
      </c>
      <c r="D7" s="1">
        <v>44</v>
      </c>
      <c r="E7" s="1">
        <v>45</v>
      </c>
      <c r="F7" s="1">
        <v>46</v>
      </c>
      <c r="G7" s="2"/>
      <c r="H7" s="8">
        <v>5</v>
      </c>
      <c r="I7" s="9" t="s">
        <v>13</v>
      </c>
      <c r="J7" s="9" t="s">
        <v>7</v>
      </c>
      <c r="K7" s="9">
        <v>44</v>
      </c>
      <c r="L7" s="9">
        <v>45</v>
      </c>
      <c r="M7" s="10">
        <v>46</v>
      </c>
    </row>
    <row r="9" spans="1:13" ht="15" thickBot="1" x14ac:dyDescent="0.4"/>
    <row r="10" spans="1:13" ht="15.5" thickTop="1" thickBot="1" x14ac:dyDescent="0.4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H10" s="12" t="s">
        <v>0</v>
      </c>
      <c r="I10" s="12" t="s">
        <v>1</v>
      </c>
      <c r="J10" s="12" t="s">
        <v>2</v>
      </c>
      <c r="K10" s="12" t="s">
        <v>3</v>
      </c>
      <c r="L10" s="12" t="s">
        <v>4</v>
      </c>
      <c r="M10" s="12" t="s">
        <v>5</v>
      </c>
    </row>
    <row r="11" spans="1:13" ht="15.5" thickTop="1" thickBot="1" x14ac:dyDescent="0.4">
      <c r="A11" s="11">
        <v>1</v>
      </c>
      <c r="B11" s="11" t="s">
        <v>6</v>
      </c>
      <c r="C11" s="11" t="s">
        <v>7</v>
      </c>
      <c r="D11" s="11">
        <v>44</v>
      </c>
      <c r="E11" s="11">
        <v>45</v>
      </c>
      <c r="F11" s="11">
        <v>46</v>
      </c>
      <c r="H11" s="12">
        <v>1</v>
      </c>
      <c r="I11" s="12" t="s">
        <v>6</v>
      </c>
      <c r="J11" s="12" t="s">
        <v>7</v>
      </c>
      <c r="K11" s="12">
        <v>44</v>
      </c>
      <c r="L11" s="12">
        <v>45</v>
      </c>
      <c r="M11" s="12">
        <v>46</v>
      </c>
    </row>
    <row r="12" spans="1:13" ht="15.5" thickTop="1" thickBot="1" x14ac:dyDescent="0.4">
      <c r="A12" s="11">
        <v>2</v>
      </c>
      <c r="B12" s="11" t="s">
        <v>8</v>
      </c>
      <c r="C12" s="11" t="s">
        <v>9</v>
      </c>
      <c r="D12" s="11">
        <v>40</v>
      </c>
      <c r="E12" s="11">
        <v>45</v>
      </c>
      <c r="F12" s="11">
        <v>35</v>
      </c>
      <c r="H12" s="12">
        <v>2</v>
      </c>
      <c r="I12" s="12" t="s">
        <v>8</v>
      </c>
      <c r="J12" s="12" t="s">
        <v>9</v>
      </c>
      <c r="K12" s="12">
        <v>40</v>
      </c>
      <c r="L12" s="12">
        <v>45</v>
      </c>
      <c r="M12" s="12">
        <v>35</v>
      </c>
    </row>
    <row r="13" spans="1:13" ht="15.5" thickTop="1" thickBot="1" x14ac:dyDescent="0.4">
      <c r="A13" s="11">
        <v>3</v>
      </c>
      <c r="B13" s="11" t="s">
        <v>10</v>
      </c>
      <c r="C13" s="11" t="s">
        <v>11</v>
      </c>
      <c r="D13" s="11">
        <v>48</v>
      </c>
      <c r="E13" s="11">
        <v>45</v>
      </c>
      <c r="F13" s="11">
        <v>43</v>
      </c>
      <c r="H13" s="12">
        <v>3</v>
      </c>
      <c r="I13" s="12" t="s">
        <v>10</v>
      </c>
      <c r="J13" s="12" t="s">
        <v>11</v>
      </c>
      <c r="K13" s="12">
        <v>48</v>
      </c>
      <c r="L13" s="12">
        <v>45</v>
      </c>
      <c r="M13" s="12">
        <v>43</v>
      </c>
    </row>
    <row r="14" spans="1:13" ht="15.5" thickTop="1" thickBot="1" x14ac:dyDescent="0.4">
      <c r="A14" s="11">
        <v>4</v>
      </c>
      <c r="B14" s="11" t="s">
        <v>12</v>
      </c>
      <c r="C14" s="11" t="s">
        <v>7</v>
      </c>
      <c r="D14" s="11">
        <v>47</v>
      </c>
      <c r="E14" s="11">
        <v>45</v>
      </c>
      <c r="F14" s="11">
        <v>32</v>
      </c>
      <c r="H14" s="12">
        <v>4</v>
      </c>
      <c r="I14" s="12" t="s">
        <v>12</v>
      </c>
      <c r="J14" s="12" t="s">
        <v>7</v>
      </c>
      <c r="K14" s="12">
        <v>47</v>
      </c>
      <c r="L14" s="12">
        <v>45</v>
      </c>
      <c r="M14" s="12">
        <v>32</v>
      </c>
    </row>
    <row r="15" spans="1:13" ht="15.5" thickTop="1" thickBot="1" x14ac:dyDescent="0.4">
      <c r="A15" s="11">
        <v>5</v>
      </c>
      <c r="B15" s="11" t="s">
        <v>13</v>
      </c>
      <c r="C15" s="11" t="s">
        <v>7</v>
      </c>
      <c r="D15" s="11">
        <v>44</v>
      </c>
      <c r="E15" s="11">
        <v>45</v>
      </c>
      <c r="F15" s="11">
        <v>46</v>
      </c>
      <c r="H15" s="12">
        <v>5</v>
      </c>
      <c r="I15" s="12" t="s">
        <v>13</v>
      </c>
      <c r="J15" s="12" t="s">
        <v>7</v>
      </c>
      <c r="K15" s="12">
        <v>44</v>
      </c>
      <c r="L15" s="12">
        <v>45</v>
      </c>
      <c r="M15" s="12">
        <v>46</v>
      </c>
    </row>
    <row r="16" spans="1:13" ht="15.5" thickTop="1" thickBot="1" x14ac:dyDescent="0.4"/>
    <row r="17" spans="1:10" ht="15" thickBot="1" x14ac:dyDescent="0.4">
      <c r="A17" s="17" t="s">
        <v>15</v>
      </c>
      <c r="B17" s="18"/>
      <c r="C17" s="18"/>
      <c r="D17" s="18"/>
      <c r="E17" s="18"/>
      <c r="F17" s="19"/>
    </row>
    <row r="18" spans="1:10" ht="18" thickBot="1" x14ac:dyDescent="0.4">
      <c r="A18" s="15" t="s">
        <v>0</v>
      </c>
      <c r="B18" s="16" t="s">
        <v>1</v>
      </c>
      <c r="C18" s="16" t="s">
        <v>2</v>
      </c>
      <c r="D18" s="16" t="s">
        <v>3</v>
      </c>
      <c r="E18" s="16" t="s">
        <v>4</v>
      </c>
      <c r="F18" s="16" t="s">
        <v>5</v>
      </c>
      <c r="G18" s="20" t="s">
        <v>16</v>
      </c>
    </row>
    <row r="19" spans="1:10" ht="44" thickBot="1" x14ac:dyDescent="0.4">
      <c r="A19" s="13">
        <v>1</v>
      </c>
      <c r="B19" s="13" t="s">
        <v>6</v>
      </c>
      <c r="C19" s="13" t="s">
        <v>7</v>
      </c>
      <c r="D19" s="13">
        <v>44</v>
      </c>
      <c r="E19" s="13">
        <v>45</v>
      </c>
      <c r="F19" s="13">
        <v>46</v>
      </c>
      <c r="G19" s="21" t="s">
        <v>17</v>
      </c>
      <c r="H19" s="14">
        <v>1</v>
      </c>
    </row>
    <row r="20" spans="1:10" ht="15" thickBot="1" x14ac:dyDescent="0.4">
      <c r="A20" s="13">
        <v>2</v>
      </c>
      <c r="B20" s="13" t="s">
        <v>8</v>
      </c>
      <c r="C20" s="13" t="s">
        <v>9</v>
      </c>
      <c r="D20" s="13">
        <v>40</v>
      </c>
      <c r="E20" s="13">
        <v>45</v>
      </c>
      <c r="F20" s="13">
        <v>35</v>
      </c>
      <c r="H20" s="14">
        <v>2</v>
      </c>
    </row>
    <row r="21" spans="1:10" ht="15" thickBot="1" x14ac:dyDescent="0.4">
      <c r="A21" s="13">
        <v>3</v>
      </c>
      <c r="B21" s="13" t="s">
        <v>10</v>
      </c>
      <c r="C21" s="13" t="s">
        <v>11</v>
      </c>
      <c r="D21" s="13">
        <v>48</v>
      </c>
      <c r="E21" s="13">
        <v>45</v>
      </c>
      <c r="F21" s="13">
        <v>43</v>
      </c>
      <c r="H21" s="14">
        <v>3</v>
      </c>
    </row>
    <row r="22" spans="1:10" ht="15" thickBot="1" x14ac:dyDescent="0.4">
      <c r="A22" s="13">
        <v>4</v>
      </c>
      <c r="B22" s="13" t="s">
        <v>12</v>
      </c>
      <c r="C22" s="13" t="s">
        <v>7</v>
      </c>
      <c r="D22" s="13">
        <v>47</v>
      </c>
      <c r="E22" s="13">
        <v>45</v>
      </c>
      <c r="F22" s="13">
        <v>32</v>
      </c>
      <c r="H22" s="14">
        <v>4</v>
      </c>
    </row>
    <row r="23" spans="1:10" ht="15" thickBot="1" x14ac:dyDescent="0.4">
      <c r="A23" s="13">
        <v>5</v>
      </c>
      <c r="B23" s="13" t="s">
        <v>13</v>
      </c>
      <c r="C23" s="13" t="s">
        <v>7</v>
      </c>
      <c r="D23" s="13">
        <v>44</v>
      </c>
      <c r="E23" s="13">
        <v>45</v>
      </c>
      <c r="F23" s="13">
        <v>46</v>
      </c>
      <c r="H23" s="14">
        <v>5</v>
      </c>
    </row>
    <row r="24" spans="1:10" x14ac:dyDescent="0.35">
      <c r="H24" s="14">
        <v>6</v>
      </c>
    </row>
    <row r="25" spans="1:10" ht="18" thickBot="1" x14ac:dyDescent="0.4">
      <c r="A25" s="15" t="s">
        <v>0</v>
      </c>
      <c r="B25" s="16" t="s">
        <v>1</v>
      </c>
      <c r="C25" s="16" t="s">
        <v>2</v>
      </c>
      <c r="D25" s="23" t="s">
        <v>3</v>
      </c>
      <c r="E25" s="25" t="s">
        <v>4</v>
      </c>
      <c r="F25" s="27" t="s">
        <v>5</v>
      </c>
      <c r="G25" s="2" t="s">
        <v>18</v>
      </c>
      <c r="H25" s="22"/>
      <c r="I25" s="2"/>
      <c r="J25" s="2"/>
    </row>
    <row r="26" spans="1:10" ht="15" thickBot="1" x14ac:dyDescent="0.4">
      <c r="A26" s="13">
        <v>1</v>
      </c>
      <c r="B26" s="13" t="s">
        <v>6</v>
      </c>
      <c r="C26" s="13" t="s">
        <v>7</v>
      </c>
      <c r="D26" s="24">
        <v>44</v>
      </c>
      <c r="E26" s="26">
        <v>45</v>
      </c>
      <c r="F26" s="28">
        <v>46</v>
      </c>
      <c r="G26" s="30">
        <v>45750</v>
      </c>
      <c r="H26" s="22"/>
      <c r="I26" s="2"/>
      <c r="J26" s="2"/>
    </row>
    <row r="27" spans="1:10" ht="15" thickBot="1" x14ac:dyDescent="0.4">
      <c r="A27" s="13">
        <v>2</v>
      </c>
      <c r="B27" s="13" t="s">
        <v>8</v>
      </c>
      <c r="C27" s="13" t="s">
        <v>9</v>
      </c>
      <c r="D27" s="24">
        <v>40</v>
      </c>
      <c r="E27" s="26">
        <v>45</v>
      </c>
      <c r="F27" s="28">
        <v>35</v>
      </c>
      <c r="G27" s="30">
        <v>45751</v>
      </c>
      <c r="H27" s="22"/>
      <c r="I27" s="2"/>
      <c r="J27" s="2"/>
    </row>
    <row r="28" spans="1:10" ht="15" customHeight="1" thickBot="1" x14ac:dyDescent="0.4">
      <c r="A28" s="13">
        <v>3</v>
      </c>
      <c r="B28" s="13" t="s">
        <v>10</v>
      </c>
      <c r="C28" s="13" t="s">
        <v>11</v>
      </c>
      <c r="D28" s="24">
        <v>48</v>
      </c>
      <c r="E28" s="26">
        <v>45</v>
      </c>
      <c r="F28" s="28">
        <v>43</v>
      </c>
      <c r="G28" s="30">
        <v>45752</v>
      </c>
      <c r="H28" s="22"/>
      <c r="I28" s="2"/>
      <c r="J28" s="2"/>
    </row>
    <row r="29" spans="1:10" ht="15" thickBot="1" x14ac:dyDescent="0.4">
      <c r="A29" s="13">
        <v>4</v>
      </c>
      <c r="B29" s="13" t="s">
        <v>12</v>
      </c>
      <c r="C29" s="13" t="s">
        <v>7</v>
      </c>
      <c r="D29" s="24">
        <v>47</v>
      </c>
      <c r="E29" s="26">
        <v>45</v>
      </c>
      <c r="F29" s="28">
        <v>32</v>
      </c>
      <c r="G29" s="30">
        <v>45753</v>
      </c>
      <c r="H29" s="22"/>
      <c r="I29" s="2"/>
      <c r="J29" s="2"/>
    </row>
    <row r="30" spans="1:10" ht="15" thickBot="1" x14ac:dyDescent="0.4">
      <c r="A30" s="13">
        <v>5</v>
      </c>
      <c r="B30" s="13" t="s">
        <v>13</v>
      </c>
      <c r="C30" s="13" t="s">
        <v>7</v>
      </c>
      <c r="D30" s="24">
        <v>44</v>
      </c>
      <c r="E30" s="26">
        <v>45</v>
      </c>
      <c r="F30" s="29">
        <v>46</v>
      </c>
      <c r="G30" s="30">
        <v>45754</v>
      </c>
    </row>
    <row r="31" spans="1:10" x14ac:dyDescent="0.35">
      <c r="H31" s="14"/>
    </row>
    <row r="36" spans="1:11" ht="15" thickBot="1" x14ac:dyDescent="0.4">
      <c r="A36" t="s">
        <v>0</v>
      </c>
      <c r="B36" t="s">
        <v>1</v>
      </c>
      <c r="C36" t="s">
        <v>23</v>
      </c>
      <c r="D36" t="s">
        <v>20</v>
      </c>
      <c r="E36" t="s">
        <v>21</v>
      </c>
    </row>
    <row r="37" spans="1:11" ht="15" thickTop="1" x14ac:dyDescent="0.35">
      <c r="G37" s="52"/>
    </row>
    <row r="40" spans="1:11" ht="15" thickBot="1" x14ac:dyDescent="0.4">
      <c r="G40" s="46"/>
      <c r="H40" s="47"/>
      <c r="I40" s="47"/>
      <c r="J40" s="47"/>
      <c r="K40" s="48"/>
    </row>
    <row r="41" spans="1:11" ht="15" thickTop="1" x14ac:dyDescent="0.35">
      <c r="G41" s="54"/>
      <c r="H41" s="49"/>
      <c r="I41" s="49"/>
      <c r="J41" s="49"/>
      <c r="K41" s="55"/>
    </row>
    <row r="42" spans="1:11" x14ac:dyDescent="0.35">
      <c r="G42" s="54"/>
      <c r="H42" s="50"/>
      <c r="I42" s="50"/>
      <c r="J42" s="50"/>
      <c r="K42" s="55"/>
    </row>
    <row r="43" spans="1:11" x14ac:dyDescent="0.35">
      <c r="G43" s="54"/>
      <c r="H43" s="49"/>
      <c r="I43" s="49"/>
      <c r="J43" s="49"/>
      <c r="K43" s="55"/>
    </row>
    <row r="44" spans="1:11" x14ac:dyDescent="0.35">
      <c r="A44" t="s">
        <v>22</v>
      </c>
      <c r="E44">
        <f>SUBTOTAL(103,Table2[Column5])</f>
        <v>0</v>
      </c>
      <c r="G44" s="54"/>
      <c r="H44" s="50"/>
      <c r="I44" s="50"/>
      <c r="J44" s="50"/>
      <c r="K44" s="55"/>
    </row>
    <row r="45" spans="1:11" x14ac:dyDescent="0.35">
      <c r="G45" s="54"/>
      <c r="H45" s="49"/>
      <c r="I45" s="49"/>
      <c r="J45" s="49"/>
      <c r="K45" s="55"/>
    </row>
    <row r="46" spans="1:11" x14ac:dyDescent="0.35">
      <c r="G46" s="54"/>
      <c r="H46" s="50"/>
      <c r="I46" s="50"/>
      <c r="J46" s="50"/>
      <c r="K46" s="55"/>
    </row>
    <row r="47" spans="1:11" ht="15" thickBot="1" x14ac:dyDescent="0.4">
      <c r="G47" s="54"/>
      <c r="H47" s="49"/>
      <c r="I47" s="49"/>
      <c r="J47" s="49"/>
      <c r="K47" s="55"/>
    </row>
    <row r="48" spans="1:11" ht="15" thickTop="1" x14ac:dyDescent="0.35">
      <c r="G48" s="51"/>
      <c r="H48" s="52"/>
      <c r="I48" s="52"/>
      <c r="J48" s="52"/>
      <c r="K48" s="53"/>
    </row>
  </sheetData>
  <mergeCells count="1">
    <mergeCell ref="A17:F17"/>
  </mergeCells>
  <hyperlinks>
    <hyperlink ref="G19" r:id="rId1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35" zoomScale="130" zoomScaleNormal="130" workbookViewId="0">
      <selection activeCell="A16" sqref="A16"/>
    </sheetView>
  </sheetViews>
  <sheetFormatPr defaultRowHeight="14.5" x14ac:dyDescent="0.35"/>
  <cols>
    <col min="10" max="10" width="1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x14ac:dyDescent="0.35">
      <c r="A2" s="1">
        <v>1</v>
      </c>
      <c r="B2" s="1" t="s">
        <v>6</v>
      </c>
      <c r="C2" s="1" t="s">
        <v>7</v>
      </c>
      <c r="D2" s="1">
        <v>44</v>
      </c>
      <c r="E2" s="1">
        <v>45</v>
      </c>
      <c r="F2" s="1">
        <v>46</v>
      </c>
      <c r="H2" s="1">
        <v>1</v>
      </c>
      <c r="I2" s="45" t="s">
        <v>6</v>
      </c>
      <c r="J2" s="1" t="s">
        <v>7</v>
      </c>
      <c r="K2" s="1">
        <v>44</v>
      </c>
      <c r="L2" s="1">
        <v>45</v>
      </c>
      <c r="M2" s="1">
        <v>46</v>
      </c>
    </row>
    <row r="3" spans="1:13" x14ac:dyDescent="0.35">
      <c r="A3" s="1">
        <v>2</v>
      </c>
      <c r="B3" s="1" t="s">
        <v>19</v>
      </c>
      <c r="C3" s="1" t="s">
        <v>9</v>
      </c>
      <c r="D3" s="1">
        <v>40</v>
      </c>
      <c r="E3" s="1">
        <v>45</v>
      </c>
      <c r="F3" s="1">
        <v>35</v>
      </c>
      <c r="H3" s="1">
        <v>2</v>
      </c>
      <c r="I3" s="1" t="s">
        <v>19</v>
      </c>
      <c r="J3" s="1" t="s">
        <v>9</v>
      </c>
      <c r="K3" s="1">
        <v>40</v>
      </c>
      <c r="L3" s="1">
        <v>45</v>
      </c>
      <c r="M3" s="1">
        <v>35</v>
      </c>
    </row>
    <row r="4" spans="1:13" x14ac:dyDescent="0.35">
      <c r="A4" s="1">
        <v>3</v>
      </c>
      <c r="B4" s="1" t="s">
        <v>10</v>
      </c>
      <c r="C4" s="1" t="s">
        <v>11</v>
      </c>
      <c r="D4" s="1">
        <v>48</v>
      </c>
      <c r="E4" s="1">
        <v>45</v>
      </c>
      <c r="F4" s="1">
        <v>43</v>
      </c>
      <c r="H4" s="1">
        <v>3</v>
      </c>
      <c r="I4" s="1" t="s">
        <v>10</v>
      </c>
      <c r="J4" s="1" t="s">
        <v>11</v>
      </c>
      <c r="K4" s="1">
        <v>48</v>
      </c>
      <c r="L4" s="1">
        <v>45</v>
      </c>
      <c r="M4" s="1">
        <v>43</v>
      </c>
    </row>
    <row r="5" spans="1:13" x14ac:dyDescent="0.35">
      <c r="A5" s="1">
        <v>4</v>
      </c>
      <c r="B5" s="1" t="s">
        <v>12</v>
      </c>
      <c r="C5" s="1" t="s">
        <v>7</v>
      </c>
      <c r="D5" s="1">
        <v>47</v>
      </c>
      <c r="E5" s="1">
        <v>45</v>
      </c>
      <c r="F5" s="1">
        <v>32</v>
      </c>
      <c r="H5" s="1">
        <v>4</v>
      </c>
      <c r="I5" s="1" t="s">
        <v>12</v>
      </c>
      <c r="J5" s="1" t="s">
        <v>7</v>
      </c>
      <c r="K5" s="1">
        <v>47</v>
      </c>
      <c r="L5" s="1">
        <v>45</v>
      </c>
      <c r="M5" s="1">
        <v>32</v>
      </c>
    </row>
    <row r="6" spans="1:13" x14ac:dyDescent="0.35">
      <c r="A6" s="1">
        <v>5</v>
      </c>
      <c r="B6" s="1" t="s">
        <v>13</v>
      </c>
      <c r="C6" s="1" t="s">
        <v>7</v>
      </c>
      <c r="D6" s="1">
        <v>44</v>
      </c>
      <c r="E6" s="1">
        <v>45</v>
      </c>
      <c r="F6" s="1">
        <v>46</v>
      </c>
      <c r="H6" s="1">
        <v>5</v>
      </c>
      <c r="I6" s="1" t="s">
        <v>13</v>
      </c>
      <c r="J6" s="1" t="s">
        <v>7</v>
      </c>
      <c r="K6" s="1">
        <v>44</v>
      </c>
      <c r="L6" s="1">
        <v>45</v>
      </c>
      <c r="M6" s="1">
        <v>46</v>
      </c>
    </row>
    <row r="8" spans="1:13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1" t="s">
        <v>0</v>
      </c>
      <c r="I8" s="1" t="s">
        <v>1</v>
      </c>
      <c r="J8" s="1" t="s">
        <v>2</v>
      </c>
      <c r="K8" s="1" t="s">
        <v>3</v>
      </c>
      <c r="L8" s="1" t="s">
        <v>4</v>
      </c>
      <c r="M8" s="1" t="s">
        <v>5</v>
      </c>
    </row>
    <row r="9" spans="1:13" x14ac:dyDescent="0.35">
      <c r="A9" s="1">
        <v>1</v>
      </c>
      <c r="B9" s="1" t="s">
        <v>6</v>
      </c>
      <c r="C9" s="1" t="s">
        <v>7</v>
      </c>
      <c r="D9" s="1">
        <v>44</v>
      </c>
      <c r="E9" s="1">
        <v>45</v>
      </c>
      <c r="F9" s="1">
        <v>46</v>
      </c>
      <c r="H9" s="1">
        <v>1</v>
      </c>
      <c r="I9" s="1" t="s">
        <v>6</v>
      </c>
      <c r="J9" s="1" t="s">
        <v>7</v>
      </c>
      <c r="K9" s="1">
        <v>44</v>
      </c>
      <c r="L9" s="1">
        <v>45</v>
      </c>
      <c r="M9" s="1">
        <v>46</v>
      </c>
    </row>
    <row r="10" spans="1:13" x14ac:dyDescent="0.35">
      <c r="A10" s="1">
        <v>2</v>
      </c>
      <c r="B10" s="1" t="s">
        <v>19</v>
      </c>
      <c r="C10" s="1" t="s">
        <v>9</v>
      </c>
      <c r="D10" s="1">
        <v>40</v>
      </c>
      <c r="E10" s="1">
        <v>45</v>
      </c>
      <c r="F10" s="1">
        <v>35</v>
      </c>
      <c r="H10" s="1">
        <v>2</v>
      </c>
      <c r="I10" s="1" t="s">
        <v>19</v>
      </c>
      <c r="J10" s="1" t="s">
        <v>9</v>
      </c>
      <c r="K10" s="1">
        <v>40</v>
      </c>
      <c r="L10" s="1">
        <v>45</v>
      </c>
      <c r="M10" s="1">
        <v>35</v>
      </c>
    </row>
    <row r="11" spans="1:13" x14ac:dyDescent="0.35">
      <c r="A11" s="1">
        <v>3</v>
      </c>
      <c r="B11" s="1" t="s">
        <v>10</v>
      </c>
      <c r="C11" s="1" t="s">
        <v>11</v>
      </c>
      <c r="D11" s="1">
        <v>48</v>
      </c>
      <c r="E11" s="1">
        <v>45</v>
      </c>
      <c r="F11" s="1">
        <v>43</v>
      </c>
      <c r="H11" s="1">
        <v>3</v>
      </c>
      <c r="I11" s="1" t="s">
        <v>10</v>
      </c>
      <c r="J11" s="1" t="s">
        <v>11</v>
      </c>
      <c r="K11" s="1">
        <v>48</v>
      </c>
      <c r="L11" s="1">
        <v>45</v>
      </c>
      <c r="M11" s="1">
        <v>43</v>
      </c>
    </row>
    <row r="12" spans="1:13" x14ac:dyDescent="0.35">
      <c r="A12" s="1">
        <v>4</v>
      </c>
      <c r="B12" s="1" t="s">
        <v>12</v>
      </c>
      <c r="C12" s="1" t="s">
        <v>7</v>
      </c>
      <c r="D12" s="1">
        <v>47</v>
      </c>
      <c r="E12" s="1">
        <v>45</v>
      </c>
      <c r="F12" s="1">
        <v>32</v>
      </c>
      <c r="H12" s="1">
        <v>4</v>
      </c>
      <c r="I12" s="1" t="s">
        <v>12</v>
      </c>
      <c r="J12" s="1" t="s">
        <v>7</v>
      </c>
      <c r="K12" s="1">
        <v>47</v>
      </c>
      <c r="L12" s="1">
        <v>45</v>
      </c>
      <c r="M12" s="1">
        <v>32</v>
      </c>
    </row>
    <row r="13" spans="1:13" x14ac:dyDescent="0.35">
      <c r="A13" s="1">
        <v>5</v>
      </c>
      <c r="B13" s="1" t="s">
        <v>13</v>
      </c>
      <c r="C13" s="1" t="s">
        <v>7</v>
      </c>
      <c r="D13" s="1">
        <v>44</v>
      </c>
      <c r="E13" s="1">
        <v>45</v>
      </c>
      <c r="F13" s="1">
        <v>46</v>
      </c>
      <c r="H13" s="1">
        <v>5</v>
      </c>
      <c r="I13" s="1" t="s">
        <v>13</v>
      </c>
      <c r="J13" s="1" t="s">
        <v>7</v>
      </c>
      <c r="K13" s="1">
        <v>44</v>
      </c>
      <c r="L13" s="1">
        <v>45</v>
      </c>
      <c r="M13" s="1">
        <v>46</v>
      </c>
    </row>
    <row r="15" spans="1:13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0</v>
      </c>
      <c r="I15" s="1" t="s">
        <v>1</v>
      </c>
      <c r="J15" s="1" t="s">
        <v>2</v>
      </c>
      <c r="K15" s="1" t="s">
        <v>3</v>
      </c>
      <c r="L15" s="1" t="s">
        <v>4</v>
      </c>
      <c r="M15" s="1" t="s">
        <v>5</v>
      </c>
    </row>
    <row r="16" spans="1:13" x14ac:dyDescent="0.35">
      <c r="A16" s="1">
        <v>100</v>
      </c>
      <c r="B16" s="1" t="s">
        <v>6</v>
      </c>
      <c r="C16" s="1" t="s">
        <v>7</v>
      </c>
      <c r="D16" s="1">
        <v>44</v>
      </c>
      <c r="E16" s="1">
        <v>45</v>
      </c>
      <c r="F16" s="1">
        <v>46</v>
      </c>
      <c r="H16" s="1">
        <v>1</v>
      </c>
      <c r="I16" s="1" t="s">
        <v>6</v>
      </c>
      <c r="J16" s="1" t="s">
        <v>7</v>
      </c>
      <c r="K16" s="1">
        <v>44</v>
      </c>
      <c r="L16" s="1">
        <v>45</v>
      </c>
      <c r="M16" s="1">
        <v>46</v>
      </c>
    </row>
    <row r="17" spans="1:13" x14ac:dyDescent="0.35">
      <c r="A17" s="1">
        <v>2</v>
      </c>
      <c r="B17" s="1" t="s">
        <v>19</v>
      </c>
      <c r="C17" s="1" t="s">
        <v>9</v>
      </c>
      <c r="D17" s="1">
        <v>40</v>
      </c>
      <c r="E17" s="1">
        <v>45</v>
      </c>
      <c r="F17" s="1">
        <v>35</v>
      </c>
      <c r="H17" s="1">
        <v>2</v>
      </c>
      <c r="I17" s="1" t="s">
        <v>19</v>
      </c>
      <c r="J17" s="1" t="s">
        <v>9</v>
      </c>
      <c r="K17" s="1">
        <v>40</v>
      </c>
      <c r="L17" s="1">
        <v>45</v>
      </c>
      <c r="M17" s="1">
        <v>35</v>
      </c>
    </row>
    <row r="18" spans="1:13" x14ac:dyDescent="0.35">
      <c r="A18" s="1">
        <v>3</v>
      </c>
      <c r="B18" s="1" t="s">
        <v>10</v>
      </c>
      <c r="C18" s="1" t="s">
        <v>11</v>
      </c>
      <c r="D18" s="1">
        <v>48</v>
      </c>
      <c r="E18" s="1">
        <v>45</v>
      </c>
      <c r="F18" s="1">
        <v>43</v>
      </c>
      <c r="H18" s="1">
        <v>3</v>
      </c>
      <c r="I18" s="1" t="s">
        <v>10</v>
      </c>
      <c r="J18" s="1" t="s">
        <v>11</v>
      </c>
      <c r="K18" s="1">
        <v>48</v>
      </c>
      <c r="L18" s="1">
        <v>45</v>
      </c>
      <c r="M18" s="1">
        <v>43</v>
      </c>
    </row>
    <row r="19" spans="1:13" x14ac:dyDescent="0.35">
      <c r="A19" s="1">
        <v>4</v>
      </c>
      <c r="B19" s="1" t="s">
        <v>12</v>
      </c>
      <c r="C19" s="1" t="s">
        <v>7</v>
      </c>
      <c r="D19" s="1">
        <v>47</v>
      </c>
      <c r="E19" s="1">
        <v>45</v>
      </c>
      <c r="F19" s="1">
        <v>32</v>
      </c>
      <c r="H19" s="1">
        <v>4</v>
      </c>
      <c r="I19" s="1" t="s">
        <v>12</v>
      </c>
      <c r="J19" s="1" t="s">
        <v>7</v>
      </c>
      <c r="K19" s="1">
        <v>47</v>
      </c>
      <c r="L19" s="1">
        <v>45</v>
      </c>
      <c r="M19" s="1">
        <v>32</v>
      </c>
    </row>
    <row r="20" spans="1:13" x14ac:dyDescent="0.35">
      <c r="A20" s="1">
        <v>5</v>
      </c>
      <c r="B20" s="1" t="s">
        <v>13</v>
      </c>
      <c r="C20" s="1" t="s">
        <v>7</v>
      </c>
      <c r="D20" s="1">
        <v>44</v>
      </c>
      <c r="E20" s="1">
        <v>45</v>
      </c>
      <c r="F20" s="1">
        <v>46</v>
      </c>
      <c r="H20" s="1">
        <v>5</v>
      </c>
      <c r="I20" s="1" t="s">
        <v>13</v>
      </c>
      <c r="J20" s="1" t="s">
        <v>7</v>
      </c>
      <c r="K20" s="1">
        <v>44</v>
      </c>
      <c r="L20" s="1">
        <v>45</v>
      </c>
      <c r="M20" s="1">
        <v>46</v>
      </c>
    </row>
    <row r="23" spans="1:13" ht="20" thickBot="1" x14ac:dyDescent="0.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H23" s="44" t="s">
        <v>0</v>
      </c>
      <c r="I23" s="44" t="s">
        <v>1</v>
      </c>
      <c r="J23" s="44" t="s">
        <v>2</v>
      </c>
      <c r="K23" s="44" t="s">
        <v>3</v>
      </c>
      <c r="L23" s="44" t="s">
        <v>4</v>
      </c>
      <c r="M23" s="44" t="s">
        <v>5</v>
      </c>
    </row>
    <row r="24" spans="1:13" ht="15" thickTop="1" x14ac:dyDescent="0.35">
      <c r="A24" s="1">
        <v>1</v>
      </c>
      <c r="B24" s="1" t="s">
        <v>6</v>
      </c>
      <c r="C24" s="1" t="s">
        <v>7</v>
      </c>
      <c r="D24" s="1">
        <v>44</v>
      </c>
      <c r="E24" s="1">
        <v>45</v>
      </c>
      <c r="F24" s="1">
        <v>46</v>
      </c>
      <c r="H24" s="1">
        <v>1</v>
      </c>
      <c r="I24" s="1" t="s">
        <v>6</v>
      </c>
      <c r="J24" s="1" t="s">
        <v>7</v>
      </c>
      <c r="K24" s="1">
        <v>44</v>
      </c>
      <c r="L24" s="1">
        <v>45</v>
      </c>
      <c r="M24" s="1">
        <v>46</v>
      </c>
    </row>
    <row r="25" spans="1:13" x14ac:dyDescent="0.35">
      <c r="A25" s="1">
        <v>2</v>
      </c>
      <c r="B25" s="1" t="s">
        <v>19</v>
      </c>
      <c r="C25" s="1" t="s">
        <v>9</v>
      </c>
      <c r="D25" s="1">
        <v>40</v>
      </c>
      <c r="E25" s="1">
        <v>45</v>
      </c>
      <c r="F25" s="1">
        <v>35</v>
      </c>
      <c r="H25" s="1">
        <v>2</v>
      </c>
      <c r="I25" s="1" t="s">
        <v>19</v>
      </c>
      <c r="J25" s="1" t="s">
        <v>9</v>
      </c>
      <c r="K25" s="1">
        <v>40</v>
      </c>
      <c r="L25" s="1">
        <v>45</v>
      </c>
      <c r="M25" s="1">
        <v>35</v>
      </c>
    </row>
    <row r="26" spans="1:13" x14ac:dyDescent="0.35">
      <c r="A26" s="1">
        <v>3</v>
      </c>
      <c r="B26" s="1" t="s">
        <v>10</v>
      </c>
      <c r="C26" s="1" t="s">
        <v>11</v>
      </c>
      <c r="D26" s="1">
        <v>48</v>
      </c>
      <c r="E26" s="1">
        <v>45</v>
      </c>
      <c r="F26" s="1">
        <v>43</v>
      </c>
      <c r="H26" s="1">
        <v>3</v>
      </c>
      <c r="I26" s="1" t="s">
        <v>10</v>
      </c>
      <c r="J26" s="1" t="s">
        <v>11</v>
      </c>
      <c r="K26" s="1">
        <v>48</v>
      </c>
      <c r="L26" s="1">
        <v>45</v>
      </c>
      <c r="M26" s="1">
        <v>43</v>
      </c>
    </row>
    <row r="27" spans="1:13" x14ac:dyDescent="0.35">
      <c r="A27" s="1">
        <v>4</v>
      </c>
      <c r="B27" s="1" t="s">
        <v>12</v>
      </c>
      <c r="C27" s="1" t="s">
        <v>7</v>
      </c>
      <c r="D27" s="1">
        <v>47</v>
      </c>
      <c r="E27" s="1">
        <v>45</v>
      </c>
      <c r="F27" s="1">
        <v>32</v>
      </c>
      <c r="H27" s="1">
        <v>4</v>
      </c>
      <c r="I27" s="1" t="s">
        <v>12</v>
      </c>
      <c r="J27" s="1" t="s">
        <v>7</v>
      </c>
      <c r="K27" s="1">
        <v>47</v>
      </c>
      <c r="L27" s="1">
        <v>45</v>
      </c>
      <c r="M27" s="1">
        <v>32</v>
      </c>
    </row>
    <row r="28" spans="1:13" x14ac:dyDescent="0.35">
      <c r="A28" s="1">
        <v>5</v>
      </c>
      <c r="B28" s="1" t="s">
        <v>13</v>
      </c>
      <c r="C28" s="1" t="s">
        <v>7</v>
      </c>
      <c r="D28" s="1">
        <v>44</v>
      </c>
      <c r="E28" s="1">
        <v>45</v>
      </c>
      <c r="F28" s="1">
        <v>46</v>
      </c>
      <c r="H28" s="1">
        <v>5</v>
      </c>
      <c r="I28" s="1" t="s">
        <v>13</v>
      </c>
      <c r="J28" s="1" t="s">
        <v>7</v>
      </c>
      <c r="K28" s="1">
        <v>44</v>
      </c>
      <c r="L28" s="1">
        <v>45</v>
      </c>
      <c r="M28" s="1">
        <v>46</v>
      </c>
    </row>
    <row r="29" spans="1:13" ht="15" thickBot="1" x14ac:dyDescent="0.4"/>
    <row r="30" spans="1:13" ht="15" thickBot="1" x14ac:dyDescent="0.4">
      <c r="A30" s="32" t="s">
        <v>0</v>
      </c>
      <c r="B30" s="32" t="s">
        <v>1</v>
      </c>
      <c r="C30" s="32" t="s">
        <v>2</v>
      </c>
      <c r="D30" s="32" t="s">
        <v>3</v>
      </c>
      <c r="E30" s="32" t="s">
        <v>4</v>
      </c>
      <c r="F30" s="32" t="s">
        <v>5</v>
      </c>
      <c r="H30" s="36" t="s">
        <v>0</v>
      </c>
      <c r="I30" s="37" t="s">
        <v>1</v>
      </c>
      <c r="J30" s="37" t="s">
        <v>2</v>
      </c>
      <c r="K30" s="37" t="s">
        <v>3</v>
      </c>
      <c r="L30" s="37" t="s">
        <v>4</v>
      </c>
      <c r="M30" s="38" t="s">
        <v>5</v>
      </c>
    </row>
    <row r="31" spans="1:13" ht="15" thickBot="1" x14ac:dyDescent="0.4">
      <c r="A31" s="33">
        <v>1</v>
      </c>
      <c r="B31" s="33" t="s">
        <v>6</v>
      </c>
      <c r="C31" s="33" t="s">
        <v>7</v>
      </c>
      <c r="D31" s="33">
        <v>44</v>
      </c>
      <c r="E31" s="33">
        <v>45</v>
      </c>
      <c r="F31" s="33">
        <v>46</v>
      </c>
      <c r="H31" s="34">
        <v>1</v>
      </c>
      <c r="I31" s="1" t="s">
        <v>6</v>
      </c>
      <c r="J31" s="1" t="s">
        <v>7</v>
      </c>
      <c r="K31" s="1">
        <v>44</v>
      </c>
      <c r="L31" s="1">
        <v>45</v>
      </c>
      <c r="M31" s="35">
        <v>46</v>
      </c>
    </row>
    <row r="32" spans="1:13" ht="15" thickBot="1" x14ac:dyDescent="0.4">
      <c r="A32" s="33">
        <v>2</v>
      </c>
      <c r="B32" s="33" t="s">
        <v>19</v>
      </c>
      <c r="C32" s="33" t="s">
        <v>9</v>
      </c>
      <c r="D32" s="33">
        <v>40</v>
      </c>
      <c r="E32" s="33">
        <v>45</v>
      </c>
      <c r="F32" s="33">
        <v>35</v>
      </c>
      <c r="H32" s="34">
        <v>2</v>
      </c>
      <c r="I32" s="1" t="s">
        <v>19</v>
      </c>
      <c r="J32" s="1" t="s">
        <v>9</v>
      </c>
      <c r="K32" s="1">
        <v>40</v>
      </c>
      <c r="L32" s="1">
        <v>45</v>
      </c>
      <c r="M32" s="35">
        <v>35</v>
      </c>
    </row>
    <row r="33" spans="1:13" ht="15" thickBot="1" x14ac:dyDescent="0.4">
      <c r="A33" s="33">
        <v>3</v>
      </c>
      <c r="B33" s="33" t="s">
        <v>10</v>
      </c>
      <c r="C33" s="33" t="s">
        <v>11</v>
      </c>
      <c r="D33" s="33">
        <v>48</v>
      </c>
      <c r="E33" s="33">
        <v>45</v>
      </c>
      <c r="F33" s="33">
        <v>43</v>
      </c>
      <c r="H33" s="34">
        <v>3</v>
      </c>
      <c r="I33" s="1" t="s">
        <v>10</v>
      </c>
      <c r="J33" s="1" t="s">
        <v>11</v>
      </c>
      <c r="K33" s="1">
        <v>48</v>
      </c>
      <c r="L33" s="1">
        <v>45</v>
      </c>
      <c r="M33" s="35">
        <v>43</v>
      </c>
    </row>
    <row r="34" spans="1:13" ht="15" thickBot="1" x14ac:dyDescent="0.4">
      <c r="A34" s="33">
        <v>4</v>
      </c>
      <c r="B34" s="33" t="s">
        <v>12</v>
      </c>
      <c r="C34" s="33" t="s">
        <v>7</v>
      </c>
      <c r="D34" s="33">
        <v>47</v>
      </c>
      <c r="E34" s="33">
        <v>45</v>
      </c>
      <c r="F34" s="33">
        <v>32</v>
      </c>
      <c r="G34" s="31"/>
      <c r="H34" s="34">
        <v>4</v>
      </c>
      <c r="I34" s="1" t="s">
        <v>12</v>
      </c>
      <c r="J34" s="1" t="s">
        <v>7</v>
      </c>
      <c r="K34" s="1">
        <v>47</v>
      </c>
      <c r="L34" s="1">
        <v>45</v>
      </c>
      <c r="M34" s="35">
        <v>32</v>
      </c>
    </row>
    <row r="35" spans="1:13" ht="15" thickBot="1" x14ac:dyDescent="0.4">
      <c r="A35" s="33">
        <v>5</v>
      </c>
      <c r="B35" s="33" t="s">
        <v>13</v>
      </c>
      <c r="C35" s="33" t="s">
        <v>7</v>
      </c>
      <c r="D35" s="33">
        <v>44</v>
      </c>
      <c r="E35" s="33">
        <v>45</v>
      </c>
      <c r="F35" s="33">
        <v>46</v>
      </c>
      <c r="H35" s="39">
        <v>5</v>
      </c>
      <c r="I35" s="40" t="s">
        <v>13</v>
      </c>
      <c r="J35" s="40" t="s">
        <v>7</v>
      </c>
      <c r="K35" s="40">
        <v>44</v>
      </c>
      <c r="L35" s="40">
        <v>45</v>
      </c>
      <c r="M35" s="41">
        <v>46</v>
      </c>
    </row>
    <row r="37" spans="1:13" ht="15" thickBot="1" x14ac:dyDescent="0.4"/>
    <row r="38" spans="1:13" ht="15" thickBot="1" x14ac:dyDescent="0.4">
      <c r="A38" s="32" t="s">
        <v>0</v>
      </c>
      <c r="B38" s="32" t="s">
        <v>1</v>
      </c>
      <c r="C38" s="32" t="s">
        <v>2</v>
      </c>
      <c r="D38" s="32" t="s">
        <v>3</v>
      </c>
      <c r="E38" s="32" t="s">
        <v>3</v>
      </c>
      <c r="F38" s="32" t="s">
        <v>5</v>
      </c>
      <c r="H38" s="56"/>
      <c r="I38" s="56"/>
      <c r="J38" s="56"/>
      <c r="K38" s="56"/>
      <c r="L38" s="56"/>
      <c r="M38" s="56"/>
    </row>
    <row r="39" spans="1:13" ht="15" thickBot="1" x14ac:dyDescent="0.4">
      <c r="A39" s="33">
        <v>1</v>
      </c>
      <c r="B39" s="33" t="s">
        <v>6</v>
      </c>
      <c r="C39" s="33" t="s">
        <v>7</v>
      </c>
      <c r="D39" s="33">
        <v>44</v>
      </c>
      <c r="E39" s="33">
        <v>44</v>
      </c>
      <c r="F39" s="33">
        <v>46</v>
      </c>
      <c r="H39" s="42"/>
      <c r="I39" s="42"/>
      <c r="J39" s="42"/>
      <c r="K39" s="42"/>
      <c r="L39" s="42"/>
      <c r="M39" s="42"/>
    </row>
    <row r="40" spans="1:13" ht="15" thickBot="1" x14ac:dyDescent="0.4">
      <c r="A40" s="33">
        <v>2</v>
      </c>
      <c r="B40" s="33" t="s">
        <v>19</v>
      </c>
      <c r="C40" s="33" t="s">
        <v>9</v>
      </c>
      <c r="D40" s="33">
        <v>40</v>
      </c>
      <c r="E40" s="33">
        <v>40</v>
      </c>
      <c r="F40" s="33">
        <v>35</v>
      </c>
      <c r="H40" s="43"/>
      <c r="I40" s="43"/>
      <c r="J40" s="43"/>
      <c r="K40" s="43"/>
      <c r="L40" s="43"/>
      <c r="M40" s="43"/>
    </row>
    <row r="41" spans="1:13" ht="15" thickBot="1" x14ac:dyDescent="0.4">
      <c r="A41" s="33">
        <v>3</v>
      </c>
      <c r="B41" s="33" t="s">
        <v>10</v>
      </c>
      <c r="C41" s="33" t="s">
        <v>11</v>
      </c>
      <c r="D41" s="33">
        <v>48</v>
      </c>
      <c r="E41" s="33">
        <v>48</v>
      </c>
      <c r="F41" s="33">
        <v>43</v>
      </c>
      <c r="H41" s="42"/>
      <c r="I41" s="42"/>
      <c r="J41" s="42"/>
      <c r="K41" s="42"/>
      <c r="L41" s="42"/>
      <c r="M41" s="42"/>
    </row>
    <row r="42" spans="1:13" ht="15" thickBot="1" x14ac:dyDescent="0.4">
      <c r="A42" s="33">
        <v>4</v>
      </c>
      <c r="B42" s="33" t="s">
        <v>12</v>
      </c>
      <c r="C42" s="33" t="s">
        <v>7</v>
      </c>
      <c r="D42" s="33">
        <v>47</v>
      </c>
      <c r="E42" s="33">
        <v>47</v>
      </c>
      <c r="F42" s="33">
        <v>32</v>
      </c>
      <c r="H42" s="43"/>
      <c r="I42" s="43"/>
      <c r="J42" s="43"/>
      <c r="K42" s="43"/>
      <c r="L42" s="43"/>
      <c r="M42" s="43"/>
    </row>
    <row r="43" spans="1:13" ht="15" thickBot="1" x14ac:dyDescent="0.4">
      <c r="A43" s="33">
        <v>5</v>
      </c>
      <c r="B43" s="33" t="s">
        <v>13</v>
      </c>
      <c r="C43" s="33" t="s">
        <v>7</v>
      </c>
      <c r="D43" s="33">
        <v>44</v>
      </c>
      <c r="E43" s="33">
        <v>44</v>
      </c>
      <c r="F43" s="33">
        <v>50</v>
      </c>
      <c r="H43" s="42"/>
      <c r="I43" s="42"/>
      <c r="J43" s="42"/>
      <c r="K43" s="42"/>
      <c r="L43" s="42"/>
      <c r="M43" s="42"/>
    </row>
    <row r="44" spans="1:13" x14ac:dyDescent="0.35">
      <c r="D44">
        <f>MAX(D39:D43)</f>
        <v>48</v>
      </c>
      <c r="E44">
        <f>MAX(E39:E43)</f>
        <v>48</v>
      </c>
      <c r="F44">
        <f>MAX(F39:F43)</f>
        <v>50</v>
      </c>
    </row>
    <row r="45" spans="1:13" x14ac:dyDescent="0.35">
      <c r="D45">
        <f>MIN(D39:D44)</f>
        <v>40</v>
      </c>
      <c r="E45">
        <f>MIN(E39:E44)</f>
        <v>40</v>
      </c>
      <c r="F45">
        <f>MIN(F39:F44)</f>
        <v>32</v>
      </c>
    </row>
    <row r="46" spans="1:13" x14ac:dyDescent="0.35">
      <c r="H46" s="42">
        <v>1</v>
      </c>
      <c r="I46" s="42" t="s">
        <v>6</v>
      </c>
      <c r="J46" s="42" t="s">
        <v>7</v>
      </c>
      <c r="K46" s="42">
        <v>44</v>
      </c>
      <c r="L46" s="42">
        <v>45</v>
      </c>
      <c r="M46" s="42">
        <v>46</v>
      </c>
    </row>
    <row r="47" spans="1:13" ht="15" thickBot="1" x14ac:dyDescent="0.4">
      <c r="H47" s="43">
        <v>2</v>
      </c>
      <c r="I47" s="43" t="s">
        <v>19</v>
      </c>
      <c r="J47" s="43" t="s">
        <v>9</v>
      </c>
      <c r="K47" s="43">
        <v>40</v>
      </c>
      <c r="L47" s="43">
        <v>45</v>
      </c>
      <c r="M47" s="43">
        <v>35</v>
      </c>
    </row>
    <row r="48" spans="1:13" ht="15" thickBot="1" x14ac:dyDescent="0.4">
      <c r="A48" s="33">
        <v>1</v>
      </c>
      <c r="B48" s="33" t="s">
        <v>6</v>
      </c>
      <c r="C48" s="33" t="s">
        <v>7</v>
      </c>
      <c r="D48" s="33">
        <v>44</v>
      </c>
      <c r="E48" s="33">
        <v>44</v>
      </c>
      <c r="F48" s="33">
        <v>46</v>
      </c>
      <c r="H48" s="42">
        <v>3</v>
      </c>
      <c r="I48" s="42" t="s">
        <v>10</v>
      </c>
      <c r="J48" s="42" t="s">
        <v>11</v>
      </c>
      <c r="K48" s="42">
        <v>48</v>
      </c>
      <c r="L48" s="42">
        <v>45</v>
      </c>
      <c r="M48" s="42">
        <v>43</v>
      </c>
    </row>
    <row r="49" spans="1:13" ht="15" thickBot="1" x14ac:dyDescent="0.4">
      <c r="A49" s="33">
        <v>2</v>
      </c>
      <c r="B49" s="33" t="s">
        <v>19</v>
      </c>
      <c r="C49" s="33" t="s">
        <v>9</v>
      </c>
      <c r="D49" s="33">
        <v>40</v>
      </c>
      <c r="E49" s="33">
        <v>40</v>
      </c>
      <c r="F49" s="33">
        <v>35</v>
      </c>
      <c r="H49" s="43">
        <v>4</v>
      </c>
      <c r="I49" s="43" t="s">
        <v>12</v>
      </c>
      <c r="J49" s="43" t="s">
        <v>7</v>
      </c>
      <c r="K49" s="43">
        <v>47</v>
      </c>
      <c r="L49" s="43">
        <v>45</v>
      </c>
      <c r="M49" s="43">
        <v>32</v>
      </c>
    </row>
    <row r="50" spans="1:13" ht="15" thickBot="1" x14ac:dyDescent="0.4">
      <c r="A50" s="33">
        <v>3</v>
      </c>
      <c r="B50" s="33" t="s">
        <v>10</v>
      </c>
      <c r="C50" s="33" t="s">
        <v>11</v>
      </c>
      <c r="D50" s="33">
        <v>48</v>
      </c>
      <c r="E50" s="33">
        <v>48</v>
      </c>
      <c r="F50" s="33">
        <v>43</v>
      </c>
      <c r="H50" s="42">
        <v>5</v>
      </c>
      <c r="I50" s="42" t="s">
        <v>13</v>
      </c>
      <c r="J50" s="42" t="s">
        <v>7</v>
      </c>
      <c r="K50" s="42">
        <v>44</v>
      </c>
      <c r="L50" s="42">
        <v>45</v>
      </c>
      <c r="M50" s="42">
        <v>46</v>
      </c>
    </row>
    <row r="51" spans="1:13" ht="15" thickBot="1" x14ac:dyDescent="0.4">
      <c r="A51" s="33">
        <v>4</v>
      </c>
      <c r="B51" s="33" t="s">
        <v>12</v>
      </c>
      <c r="C51" s="33" t="s">
        <v>7</v>
      </c>
      <c r="D51" s="33">
        <v>47</v>
      </c>
      <c r="E51" s="33">
        <v>47</v>
      </c>
      <c r="F51" s="33">
        <v>32</v>
      </c>
    </row>
    <row r="52" spans="1:13" ht="15" thickBot="1" x14ac:dyDescent="0.4">
      <c r="A52" s="33">
        <v>5</v>
      </c>
      <c r="B52" s="33" t="s">
        <v>13</v>
      </c>
      <c r="C52" s="33" t="s">
        <v>7</v>
      </c>
      <c r="D52" s="33">
        <v>44</v>
      </c>
      <c r="E52" s="33">
        <v>44</v>
      </c>
      <c r="F52" s="33">
        <v>50</v>
      </c>
    </row>
  </sheetData>
  <autoFilter ref="C38:C45"/>
  <conditionalFormatting sqref="B1:F6">
    <cfRule type="cellIs" dxfId="6" priority="8" operator="greaterThan">
      <formula>40</formula>
    </cfRule>
  </conditionalFormatting>
  <conditionalFormatting sqref="A8:F13">
    <cfRule type="cellIs" dxfId="5" priority="7" operator="lessThan">
      <formula>45</formula>
    </cfRule>
  </conditionalFormatting>
  <conditionalFormatting sqref="H1:M1 H3:M6 H2 J2:M2">
    <cfRule type="containsText" dxfId="4" priority="6" operator="containsText" text="Mayur">
      <formula>NOT(ISERROR(SEARCH("Mayur",H1)))</formula>
    </cfRule>
  </conditionalFormatting>
  <conditionalFormatting sqref="H8:M11 H13:M13 H12:J12 L12:M12">
    <cfRule type="top10" dxfId="3" priority="4" rank="2"/>
    <cfRule type="top10" dxfId="2" priority="5" rank="2"/>
  </conditionalFormatting>
  <conditionalFormatting sqref="A15:F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{649F1014-E2AD-46D6-9DE2-9D733ED20669}</x14:id>
        </ext>
      </extLst>
    </cfRule>
  </conditionalFormatting>
  <conditionalFormatting sqref="H15:M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F28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9F1014-E2AD-46D6-9DE2-9D733ED20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A15:F20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L6"/>
  <sheetViews>
    <sheetView topLeftCell="H1" zoomScale="85" zoomScaleNormal="85" workbookViewId="0">
      <selection activeCell="A16" sqref="A16"/>
    </sheetView>
  </sheetViews>
  <sheetFormatPr defaultColWidth="8.7265625" defaultRowHeight="14.5" x14ac:dyDescent="0.35"/>
  <sheetData>
    <row r="1" spans="7:12" ht="15" thickBot="1" x14ac:dyDescent="0.4">
      <c r="G1" s="32" t="s">
        <v>0</v>
      </c>
      <c r="H1" s="32" t="s">
        <v>1</v>
      </c>
      <c r="I1" s="32" t="s">
        <v>2</v>
      </c>
      <c r="J1" s="32" t="s">
        <v>3</v>
      </c>
      <c r="K1" s="32" t="s">
        <v>3</v>
      </c>
      <c r="L1" s="32" t="s">
        <v>5</v>
      </c>
    </row>
    <row r="2" spans="7:12" ht="15" thickBot="1" x14ac:dyDescent="0.4">
      <c r="G2" s="33">
        <v>1</v>
      </c>
      <c r="H2" s="33" t="s">
        <v>6</v>
      </c>
      <c r="I2" s="33" t="s">
        <v>7</v>
      </c>
      <c r="J2" s="33">
        <v>44</v>
      </c>
      <c r="K2" s="33">
        <v>44</v>
      </c>
      <c r="L2" s="33">
        <v>46</v>
      </c>
    </row>
    <row r="3" spans="7:12" ht="15" thickBot="1" x14ac:dyDescent="0.4">
      <c r="G3" s="33">
        <v>2</v>
      </c>
      <c r="H3" s="33" t="s">
        <v>19</v>
      </c>
      <c r="I3" s="33" t="s">
        <v>9</v>
      </c>
      <c r="J3" s="33">
        <v>40</v>
      </c>
      <c r="K3" s="33">
        <v>40</v>
      </c>
      <c r="L3" s="33">
        <v>35</v>
      </c>
    </row>
    <row r="4" spans="7:12" ht="15" thickBot="1" x14ac:dyDescent="0.4">
      <c r="G4" s="33">
        <v>3</v>
      </c>
      <c r="H4" s="33" t="s">
        <v>10</v>
      </c>
      <c r="I4" s="33" t="s">
        <v>11</v>
      </c>
      <c r="J4" s="33">
        <v>48</v>
      </c>
      <c r="K4" s="33">
        <v>48</v>
      </c>
      <c r="L4" s="33">
        <v>43</v>
      </c>
    </row>
    <row r="5" spans="7:12" ht="15" thickBot="1" x14ac:dyDescent="0.4">
      <c r="G5" s="33">
        <v>4</v>
      </c>
      <c r="H5" s="33" t="s">
        <v>12</v>
      </c>
      <c r="I5" s="33" t="s">
        <v>7</v>
      </c>
      <c r="J5" s="33">
        <v>47</v>
      </c>
      <c r="K5" s="33">
        <v>47</v>
      </c>
      <c r="L5" s="33">
        <v>32</v>
      </c>
    </row>
    <row r="6" spans="7:12" ht="15" thickBot="1" x14ac:dyDescent="0.4">
      <c r="G6" s="33">
        <v>5</v>
      </c>
      <c r="H6" s="33" t="s">
        <v>13</v>
      </c>
      <c r="I6" s="33" t="s">
        <v>7</v>
      </c>
      <c r="J6" s="33">
        <v>44</v>
      </c>
      <c r="K6" s="33">
        <v>44</v>
      </c>
      <c r="L6" s="33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2" sqref="A2:E7"/>
    </sheetView>
  </sheetViews>
  <sheetFormatPr defaultRowHeight="14.5" x14ac:dyDescent="0.35"/>
  <sheetData>
    <row r="1" spans="1:5" ht="15" thickBot="1" x14ac:dyDescent="0.4"/>
    <row r="2" spans="1:5" ht="15" thickBot="1" x14ac:dyDescent="0.4">
      <c r="A2" s="32" t="s">
        <v>1</v>
      </c>
      <c r="B2" s="32" t="s">
        <v>2</v>
      </c>
      <c r="C2" s="32" t="s">
        <v>3</v>
      </c>
      <c r="D2" s="32" t="s">
        <v>24</v>
      </c>
      <c r="E2" s="32" t="s">
        <v>5</v>
      </c>
    </row>
    <row r="3" spans="1:5" ht="15" thickBot="1" x14ac:dyDescent="0.4">
      <c r="A3" s="33" t="s">
        <v>6</v>
      </c>
      <c r="B3" s="33" t="s">
        <v>7</v>
      </c>
      <c r="C3" s="33">
        <v>40</v>
      </c>
      <c r="D3" s="33">
        <v>44</v>
      </c>
      <c r="E3" s="33">
        <v>46</v>
      </c>
    </row>
    <row r="4" spans="1:5" ht="15" thickBot="1" x14ac:dyDescent="0.4">
      <c r="A4" s="33" t="s">
        <v>19</v>
      </c>
      <c r="B4" s="33" t="s">
        <v>9</v>
      </c>
      <c r="C4" s="33">
        <v>34</v>
      </c>
      <c r="D4" s="33">
        <v>40</v>
      </c>
      <c r="E4" s="33">
        <v>35</v>
      </c>
    </row>
    <row r="5" spans="1:5" ht="15" thickBot="1" x14ac:dyDescent="0.4">
      <c r="A5" s="33" t="s">
        <v>10</v>
      </c>
      <c r="B5" s="33" t="s">
        <v>11</v>
      </c>
      <c r="C5" s="33">
        <v>48</v>
      </c>
      <c r="D5" s="33">
        <v>48</v>
      </c>
      <c r="E5" s="33">
        <v>43</v>
      </c>
    </row>
    <row r="6" spans="1:5" ht="15" thickBot="1" x14ac:dyDescent="0.4">
      <c r="A6" s="33" t="s">
        <v>12</v>
      </c>
      <c r="B6" s="33" t="s">
        <v>7</v>
      </c>
      <c r="C6" s="33">
        <v>49</v>
      </c>
      <c r="D6" s="33">
        <v>47</v>
      </c>
      <c r="E6" s="33">
        <v>32</v>
      </c>
    </row>
    <row r="7" spans="1:5" ht="15" thickBot="1" x14ac:dyDescent="0.4">
      <c r="A7" s="33" t="s">
        <v>13</v>
      </c>
      <c r="B7" s="33" t="s">
        <v>7</v>
      </c>
      <c r="C7" s="33">
        <v>33</v>
      </c>
      <c r="D7" s="33">
        <v>44</v>
      </c>
      <c r="E7" s="33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A16" sqref="A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5" workbookViewId="0">
      <selection activeCell="A16" sqref="A16"/>
    </sheetView>
  </sheetViews>
  <sheetFormatPr defaultRowHeight="14.5" x14ac:dyDescent="0.35"/>
  <cols>
    <col min="1" max="16384" width="8.7265625" style="58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"/>
  <sheetViews>
    <sheetView showGridLines="0" zoomScale="85" zoomScaleNormal="85" workbookViewId="0">
      <selection activeCell="A16" sqref="A16"/>
    </sheetView>
  </sheetViews>
  <sheetFormatPr defaultRowHeight="14.5" x14ac:dyDescent="0.35"/>
  <cols>
    <col min="1" max="16384" width="8.7265625" style="57"/>
  </cols>
  <sheetData>
    <row r="1" spans="2:22" x14ac:dyDescent="0.35">
      <c r="B1" s="59" t="s">
        <v>25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2:22" x14ac:dyDescent="0.35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2:22" x14ac:dyDescent="0.3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</sheetData>
  <mergeCells count="1">
    <mergeCell ref="B1:V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"/>
  <sheetViews>
    <sheetView showGridLines="0" zoomScale="85" zoomScaleNormal="85" workbookViewId="0">
      <selection activeCell="A16" sqref="A16"/>
    </sheetView>
  </sheetViews>
  <sheetFormatPr defaultRowHeight="14.5" x14ac:dyDescent="0.35"/>
  <cols>
    <col min="1" max="16384" width="8.7265625" style="57"/>
  </cols>
  <sheetData>
    <row r="1" spans="2:22" x14ac:dyDescent="0.35">
      <c r="B1" s="59" t="s">
        <v>25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2:22" x14ac:dyDescent="0.35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2:22" x14ac:dyDescent="0.3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</sheetData>
  <mergeCells count="1">
    <mergeCell ref="B1:V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"/>
  <sheetViews>
    <sheetView showGridLines="0" zoomScale="85" zoomScaleNormal="85" workbookViewId="0">
      <selection activeCell="A16" sqref="A16"/>
    </sheetView>
  </sheetViews>
  <sheetFormatPr defaultRowHeight="14.5" x14ac:dyDescent="0.35"/>
  <cols>
    <col min="1" max="16384" width="8.7265625" style="57"/>
  </cols>
  <sheetData>
    <row r="1" spans="2:22" x14ac:dyDescent="0.35">
      <c r="B1" s="59" t="s">
        <v>25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2:22" x14ac:dyDescent="0.35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2:22" x14ac:dyDescent="0.3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</sheetData>
  <mergeCells count="1">
    <mergeCell ref="B1:V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8" workbookViewId="0">
      <selection activeCell="L39" sqref="L3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opLeftCell="C1" zoomScale="145" zoomScaleNormal="145" workbookViewId="0">
      <selection activeCell="F2" sqref="F2:J10"/>
    </sheetView>
  </sheetViews>
  <sheetFormatPr defaultRowHeight="14.5" x14ac:dyDescent="0.35"/>
  <cols>
    <col min="2" max="2" width="13.26953125" customWidth="1"/>
    <col min="6" max="6" width="16.453125" customWidth="1"/>
    <col min="7" max="7" width="10.54296875" customWidth="1"/>
    <col min="8" max="8" width="20.54296875" customWidth="1"/>
    <col min="9" max="9" width="11.54296875" customWidth="1"/>
  </cols>
  <sheetData>
    <row r="1" spans="1:16" ht="15" thickBot="1" x14ac:dyDescent="0.4"/>
    <row r="2" spans="1:16" ht="15" thickBot="1" x14ac:dyDescent="0.4">
      <c r="A2" t="s">
        <v>26</v>
      </c>
      <c r="F2" s="32" t="s">
        <v>1</v>
      </c>
      <c r="G2" s="32" t="s">
        <v>2</v>
      </c>
      <c r="H2" s="32" t="s">
        <v>3</v>
      </c>
      <c r="I2" s="32" t="s">
        <v>24</v>
      </c>
      <c r="J2" s="32" t="s">
        <v>5</v>
      </c>
      <c r="K2" s="60" t="s">
        <v>27</v>
      </c>
      <c r="L2" s="60" t="s">
        <v>31</v>
      </c>
      <c r="M2" s="60" t="s">
        <v>32</v>
      </c>
      <c r="N2" s="60" t="s">
        <v>33</v>
      </c>
      <c r="O2" s="60" t="s">
        <v>43</v>
      </c>
      <c r="P2" s="60" t="s">
        <v>44</v>
      </c>
    </row>
    <row r="3" spans="1:16" ht="15" thickBot="1" x14ac:dyDescent="0.4">
      <c r="F3" s="33" t="s">
        <v>6</v>
      </c>
      <c r="G3" s="33" t="s">
        <v>7</v>
      </c>
      <c r="H3" s="33">
        <v>40</v>
      </c>
      <c r="I3" s="33">
        <v>44</v>
      </c>
      <c r="J3" s="33">
        <v>46</v>
      </c>
      <c r="K3">
        <f>SUM(H3:J3)</f>
        <v>130</v>
      </c>
      <c r="L3">
        <f>AVERAGE(H3:J3)</f>
        <v>43.333333333333336</v>
      </c>
      <c r="M3">
        <f>130/150*100</f>
        <v>86.666666666666671</v>
      </c>
    </row>
    <row r="4" spans="1:16" ht="15" thickBot="1" x14ac:dyDescent="0.4">
      <c r="B4" t="s">
        <v>37</v>
      </c>
      <c r="F4" s="33" t="s">
        <v>19</v>
      </c>
      <c r="G4" s="33" t="s">
        <v>9</v>
      </c>
      <c r="H4" s="33">
        <v>34</v>
      </c>
      <c r="I4" s="33">
        <v>40</v>
      </c>
      <c r="J4" s="33">
        <v>35</v>
      </c>
      <c r="K4">
        <f>SUM(H4:J4)</f>
        <v>109</v>
      </c>
      <c r="L4">
        <f t="shared" ref="L4:L10" si="0">AVERAGE(H4:J4)</f>
        <v>36.333333333333336</v>
      </c>
      <c r="M4">
        <f>K4/150*100</f>
        <v>72.666666666666671</v>
      </c>
    </row>
    <row r="5" spans="1:16" ht="15" thickBot="1" x14ac:dyDescent="0.4">
      <c r="B5" t="s">
        <v>38</v>
      </c>
      <c r="F5" s="33" t="s">
        <v>10</v>
      </c>
      <c r="G5" s="33"/>
      <c r="H5" s="33"/>
      <c r="I5" s="33">
        <v>48</v>
      </c>
      <c r="J5" s="33">
        <v>43</v>
      </c>
      <c r="K5">
        <f t="shared" ref="K5:K10" si="1">SUM(H5:J5)</f>
        <v>91</v>
      </c>
      <c r="L5">
        <f t="shared" si="0"/>
        <v>45.5</v>
      </c>
      <c r="M5">
        <f t="shared" ref="M5:M10" si="2">K5/150*100</f>
        <v>60.666666666666671</v>
      </c>
    </row>
    <row r="6" spans="1:16" ht="15" thickBot="1" x14ac:dyDescent="0.4">
      <c r="B6" t="s">
        <v>39</v>
      </c>
      <c r="F6" s="33" t="s">
        <v>12</v>
      </c>
      <c r="G6" s="33"/>
      <c r="H6" s="33">
        <v>34</v>
      </c>
      <c r="I6" s="33">
        <v>47</v>
      </c>
      <c r="J6" s="33">
        <v>32</v>
      </c>
      <c r="K6">
        <f t="shared" si="1"/>
        <v>113</v>
      </c>
      <c r="L6">
        <f t="shared" si="0"/>
        <v>37.666666666666664</v>
      </c>
      <c r="M6">
        <f>K6/150*100</f>
        <v>75.333333333333329</v>
      </c>
    </row>
    <row r="7" spans="1:16" ht="15" thickBot="1" x14ac:dyDescent="0.4">
      <c r="B7" t="s">
        <v>40</v>
      </c>
      <c r="F7" s="61" t="s">
        <v>13</v>
      </c>
      <c r="G7" s="61" t="s">
        <v>7</v>
      </c>
      <c r="H7" s="61">
        <v>33</v>
      </c>
      <c r="I7" s="61">
        <v>44</v>
      </c>
      <c r="J7" s="61">
        <v>50</v>
      </c>
      <c r="K7">
        <f t="shared" si="1"/>
        <v>127</v>
      </c>
      <c r="L7">
        <f t="shared" si="0"/>
        <v>42.333333333333336</v>
      </c>
      <c r="M7">
        <f t="shared" si="2"/>
        <v>84.666666666666671</v>
      </c>
    </row>
    <row r="8" spans="1:16" ht="15" thickBot="1" x14ac:dyDescent="0.4">
      <c r="B8" t="s">
        <v>41</v>
      </c>
      <c r="F8" s="62" t="s">
        <v>28</v>
      </c>
      <c r="G8" s="62" t="s">
        <v>29</v>
      </c>
      <c r="H8" s="62">
        <v>45</v>
      </c>
      <c r="I8" s="62">
        <v>43</v>
      </c>
      <c r="J8" s="62">
        <v>44</v>
      </c>
      <c r="K8" s="33">
        <f t="shared" si="1"/>
        <v>132</v>
      </c>
      <c r="L8">
        <f t="shared" si="0"/>
        <v>44</v>
      </c>
      <c r="M8">
        <f t="shared" si="2"/>
        <v>88</v>
      </c>
    </row>
    <row r="9" spans="1:16" ht="15" thickBot="1" x14ac:dyDescent="0.4">
      <c r="B9" t="s">
        <v>42</v>
      </c>
      <c r="F9" s="62" t="s">
        <v>30</v>
      </c>
      <c r="G9" s="62" t="s">
        <v>7</v>
      </c>
      <c r="H9" s="62">
        <v>44</v>
      </c>
      <c r="I9" s="62">
        <v>43</v>
      </c>
      <c r="J9" s="62">
        <v>42</v>
      </c>
      <c r="K9" s="33">
        <f t="shared" si="1"/>
        <v>129</v>
      </c>
      <c r="L9">
        <f t="shared" si="0"/>
        <v>43</v>
      </c>
      <c r="M9">
        <f t="shared" si="2"/>
        <v>86</v>
      </c>
    </row>
    <row r="10" spans="1:16" ht="15" thickBot="1" x14ac:dyDescent="0.4">
      <c r="B10" t="s">
        <v>62</v>
      </c>
      <c r="F10" s="62" t="s">
        <v>8</v>
      </c>
      <c r="G10" s="62" t="s">
        <v>11</v>
      </c>
      <c r="H10" s="62">
        <v>44</v>
      </c>
      <c r="I10" s="62">
        <v>23</v>
      </c>
      <c r="J10" s="62">
        <v>34</v>
      </c>
      <c r="K10" s="33">
        <f t="shared" si="1"/>
        <v>101</v>
      </c>
      <c r="L10">
        <f t="shared" si="0"/>
        <v>33.666666666666664</v>
      </c>
      <c r="M10">
        <f t="shared" si="2"/>
        <v>67.333333333333329</v>
      </c>
    </row>
    <row r="11" spans="1:16" x14ac:dyDescent="0.35">
      <c r="B11" t="s">
        <v>63</v>
      </c>
      <c r="G11">
        <f>COUNTA(G3:G10)</f>
        <v>6</v>
      </c>
    </row>
    <row r="12" spans="1:16" x14ac:dyDescent="0.35">
      <c r="B12" t="s">
        <v>64</v>
      </c>
      <c r="G12" t="s">
        <v>33</v>
      </c>
      <c r="H12">
        <f>COUNT(H3:H10)</f>
        <v>7</v>
      </c>
    </row>
    <row r="13" spans="1:16" x14ac:dyDescent="0.35">
      <c r="B13" t="s">
        <v>65</v>
      </c>
      <c r="G13" t="s">
        <v>34</v>
      </c>
    </row>
    <row r="14" spans="1:16" x14ac:dyDescent="0.35">
      <c r="B14" t="s">
        <v>66</v>
      </c>
    </row>
    <row r="15" spans="1:16" x14ac:dyDescent="0.35">
      <c r="B15" t="s">
        <v>67</v>
      </c>
    </row>
    <row r="16" spans="1:16" x14ac:dyDescent="0.35">
      <c r="B16" t="s">
        <v>68</v>
      </c>
      <c r="E16" t="s">
        <v>36</v>
      </c>
      <c r="G16">
        <v>2026</v>
      </c>
      <c r="H16" t="s">
        <v>35</v>
      </c>
      <c r="I16" t="s">
        <v>14</v>
      </c>
      <c r="J16">
        <f>COUNTA(E16:I16)</f>
        <v>4</v>
      </c>
    </row>
    <row r="17" spans="2:12" ht="15" thickBot="1" x14ac:dyDescent="0.4">
      <c r="B17" t="s">
        <v>69</v>
      </c>
      <c r="J17">
        <f>COUNTBLANK(E16:I16)</f>
        <v>1</v>
      </c>
    </row>
    <row r="18" spans="2:12" ht="15" thickBot="1" x14ac:dyDescent="0.4">
      <c r="B18" t="s">
        <v>70</v>
      </c>
      <c r="F18" s="32" t="s">
        <v>1</v>
      </c>
      <c r="G18" s="32" t="s">
        <v>2</v>
      </c>
      <c r="H18" t="s">
        <v>45</v>
      </c>
      <c r="I18" t="s">
        <v>46</v>
      </c>
      <c r="J18" t="s">
        <v>47</v>
      </c>
      <c r="K18" t="s">
        <v>48</v>
      </c>
      <c r="L18" t="s">
        <v>54</v>
      </c>
    </row>
    <row r="19" spans="2:12" ht="15" thickBot="1" x14ac:dyDescent="0.4">
      <c r="F19" s="33" t="s">
        <v>49</v>
      </c>
      <c r="G19" s="33" t="s">
        <v>7</v>
      </c>
      <c r="H19">
        <f>LEN(F19)</f>
        <v>11</v>
      </c>
      <c r="I19" t="str">
        <f>UPPER(F19)</f>
        <v xml:space="preserve">      MAYUR</v>
      </c>
      <c r="J19" t="str">
        <f>LOWER(I19)</f>
        <v xml:space="preserve">      mayur</v>
      </c>
      <c r="K19" t="str">
        <f>PROPER(J19)</f>
        <v xml:space="preserve">      Mayur</v>
      </c>
      <c r="L19" t="str">
        <f>TRIM(F19)</f>
        <v>Mayur</v>
      </c>
    </row>
    <row r="20" spans="2:12" ht="15" thickBot="1" x14ac:dyDescent="0.4">
      <c r="F20" s="33" t="s">
        <v>50</v>
      </c>
      <c r="G20" s="33" t="s">
        <v>9</v>
      </c>
      <c r="H20">
        <f t="shared" ref="H20:H26" si="3">LEN(F20)</f>
        <v>8</v>
      </c>
      <c r="I20" t="str">
        <f t="shared" ref="I20:I26" si="4">UPPER(F20)</f>
        <v xml:space="preserve">   DIXIT</v>
      </c>
      <c r="J20" t="str">
        <f t="shared" ref="J20:J26" si="5">LOWER(I20)</f>
        <v xml:space="preserve">   dixit</v>
      </c>
      <c r="K20" t="str">
        <f>PROPER(J20)</f>
        <v xml:space="preserve">   Dixit</v>
      </c>
      <c r="L20" t="str">
        <f t="shared" ref="L20:L26" si="6">TRIM(F20)</f>
        <v>Dixit</v>
      </c>
    </row>
    <row r="21" spans="2:12" ht="15" thickBot="1" x14ac:dyDescent="0.4">
      <c r="F21" s="33" t="s">
        <v>10</v>
      </c>
      <c r="G21" s="33"/>
      <c r="H21">
        <f t="shared" si="3"/>
        <v>7</v>
      </c>
      <c r="I21" t="str">
        <f t="shared" si="4"/>
        <v>PARTHAM</v>
      </c>
      <c r="J21" t="str">
        <f t="shared" si="5"/>
        <v>partham</v>
      </c>
      <c r="K21" t="str">
        <f t="shared" ref="K21:K26" si="7">PROPER(J21)</f>
        <v>Partham</v>
      </c>
      <c r="L21" t="str">
        <f t="shared" si="6"/>
        <v>Partham</v>
      </c>
    </row>
    <row r="22" spans="2:12" ht="15" thickBot="1" x14ac:dyDescent="0.4">
      <c r="F22" s="33" t="s">
        <v>51</v>
      </c>
      <c r="G22" s="33"/>
      <c r="H22">
        <f t="shared" si="3"/>
        <v>7</v>
      </c>
      <c r="I22" t="str">
        <f t="shared" si="4"/>
        <v xml:space="preserve">  SAROJ</v>
      </c>
      <c r="J22" t="str">
        <f t="shared" si="5"/>
        <v xml:space="preserve">  saroj</v>
      </c>
      <c r="K22" t="str">
        <f t="shared" si="7"/>
        <v xml:space="preserve">  Saroj</v>
      </c>
      <c r="L22" t="str">
        <f t="shared" si="6"/>
        <v>Saroj</v>
      </c>
    </row>
    <row r="23" spans="2:12" ht="15" thickBot="1" x14ac:dyDescent="0.4">
      <c r="F23" s="61" t="s">
        <v>52</v>
      </c>
      <c r="G23" s="61" t="s">
        <v>7</v>
      </c>
      <c r="H23">
        <f t="shared" si="3"/>
        <v>16</v>
      </c>
      <c r="I23" t="str">
        <f t="shared" si="4"/>
        <v xml:space="preserve">         AVDHOOT</v>
      </c>
      <c r="J23" t="str">
        <f t="shared" si="5"/>
        <v xml:space="preserve">         avdhoot</v>
      </c>
      <c r="K23" t="str">
        <f t="shared" si="7"/>
        <v xml:space="preserve">         Avdhoot</v>
      </c>
      <c r="L23" t="str">
        <f t="shared" si="6"/>
        <v>Avdhoot</v>
      </c>
    </row>
    <row r="24" spans="2:12" ht="15" thickBot="1" x14ac:dyDescent="0.4">
      <c r="F24" s="62" t="s">
        <v>53</v>
      </c>
      <c r="G24" s="62" t="s">
        <v>29</v>
      </c>
      <c r="H24">
        <f t="shared" si="3"/>
        <v>13</v>
      </c>
      <c r="I24" t="str">
        <f t="shared" si="4"/>
        <v xml:space="preserve">      APEKSHA</v>
      </c>
      <c r="J24" t="str">
        <f t="shared" si="5"/>
        <v xml:space="preserve">      apeksha</v>
      </c>
      <c r="K24" t="str">
        <f t="shared" si="7"/>
        <v xml:space="preserve">      Apeksha</v>
      </c>
      <c r="L24" t="str">
        <f t="shared" si="6"/>
        <v>Apeksha</v>
      </c>
    </row>
    <row r="25" spans="2:12" ht="15" thickBot="1" x14ac:dyDescent="0.4">
      <c r="F25" s="62" t="s">
        <v>30</v>
      </c>
      <c r="G25" s="62" t="s">
        <v>7</v>
      </c>
      <c r="H25">
        <f t="shared" si="3"/>
        <v>6</v>
      </c>
      <c r="I25" t="str">
        <f t="shared" si="4"/>
        <v>URVSHI</v>
      </c>
      <c r="J25" t="str">
        <f t="shared" si="5"/>
        <v>urvshi</v>
      </c>
      <c r="K25" t="str">
        <f t="shared" si="7"/>
        <v>Urvshi</v>
      </c>
      <c r="L25" t="str">
        <f t="shared" si="6"/>
        <v>Urvshi</v>
      </c>
    </row>
    <row r="26" spans="2:12" ht="15" thickBot="1" x14ac:dyDescent="0.4">
      <c r="F26" s="62" t="s">
        <v>8</v>
      </c>
      <c r="G26" s="62" t="s">
        <v>11</v>
      </c>
      <c r="H26">
        <f t="shared" si="3"/>
        <v>2</v>
      </c>
      <c r="I26" t="str">
        <f t="shared" si="4"/>
        <v>OM</v>
      </c>
      <c r="J26" t="str">
        <f t="shared" si="5"/>
        <v>om</v>
      </c>
      <c r="K26" t="str">
        <f t="shared" si="7"/>
        <v>Om</v>
      </c>
      <c r="L26" t="str">
        <f t="shared" si="6"/>
        <v>Om</v>
      </c>
    </row>
    <row r="28" spans="2:12" x14ac:dyDescent="0.35">
      <c r="F28" t="s">
        <v>55</v>
      </c>
      <c r="H28" t="str">
        <f>TRIM(F28)</f>
        <v>Itpm python</v>
      </c>
    </row>
    <row r="30" spans="2:12" x14ac:dyDescent="0.35">
      <c r="F30" t="s">
        <v>56</v>
      </c>
      <c r="H30" t="str">
        <f>TRIM(F30)</f>
        <v>1 2 4</v>
      </c>
    </row>
    <row r="32" spans="2:12" x14ac:dyDescent="0.35">
      <c r="F32" t="s">
        <v>57</v>
      </c>
      <c r="H32" t="e">
        <f>TRI</f>
        <v>#NAME?</v>
      </c>
    </row>
    <row r="34" spans="6:8" ht="15" thickBot="1" x14ac:dyDescent="0.4"/>
    <row r="35" spans="6:8" ht="15" thickBot="1" x14ac:dyDescent="0.4">
      <c r="F35" s="32" t="s">
        <v>1</v>
      </c>
      <c r="G35" t="s">
        <v>58</v>
      </c>
      <c r="H35" t="s">
        <v>60</v>
      </c>
    </row>
    <row r="36" spans="6:8" ht="15" thickBot="1" x14ac:dyDescent="0.4">
      <c r="F36" s="33" t="s">
        <v>49</v>
      </c>
      <c r="G36" t="s">
        <v>59</v>
      </c>
      <c r="H36" t="str">
        <f>CONCATENATE(F36," ",G36)</f>
        <v xml:space="preserve">      Mayur shahakar</v>
      </c>
    </row>
    <row r="37" spans="6:8" ht="15" thickBot="1" x14ac:dyDescent="0.4">
      <c r="F37" s="33" t="s">
        <v>50</v>
      </c>
    </row>
    <row r="38" spans="6:8" ht="15" thickBot="1" x14ac:dyDescent="0.4">
      <c r="F38" s="33" t="s">
        <v>10</v>
      </c>
    </row>
    <row r="39" spans="6:8" ht="15" thickBot="1" x14ac:dyDescent="0.4">
      <c r="F39" s="33" t="s">
        <v>51</v>
      </c>
    </row>
    <row r="40" spans="6:8" ht="15" thickBot="1" x14ac:dyDescent="0.4">
      <c r="F40" s="61" t="s">
        <v>52</v>
      </c>
    </row>
    <row r="41" spans="6:8" ht="15" thickBot="1" x14ac:dyDescent="0.4">
      <c r="F41" s="62" t="s">
        <v>53</v>
      </c>
    </row>
    <row r="42" spans="6:8" ht="15" thickBot="1" x14ac:dyDescent="0.4">
      <c r="F42" s="62" t="s">
        <v>30</v>
      </c>
    </row>
    <row r="43" spans="6:8" ht="15" thickBot="1" x14ac:dyDescent="0.4">
      <c r="F43" s="62" t="s">
        <v>8</v>
      </c>
    </row>
    <row r="46" spans="6:8" x14ac:dyDescent="0.35">
      <c r="F46">
        <f>G47</f>
        <v>0</v>
      </c>
    </row>
    <row r="48" spans="6:8" x14ac:dyDescent="0.35">
      <c r="H48">
        <v>91987654320</v>
      </c>
    </row>
    <row r="49" spans="6:11" x14ac:dyDescent="0.35">
      <c r="H49">
        <v>91678493652</v>
      </c>
    </row>
    <row r="51" spans="6:11" x14ac:dyDescent="0.35">
      <c r="H51" t="s">
        <v>6</v>
      </c>
      <c r="I51" t="str">
        <f>LEFT(H51,2)</f>
        <v>Ma</v>
      </c>
      <c r="J51" t="str">
        <f>RIGHT(H51,2)</f>
        <v>ur</v>
      </c>
      <c r="K51" t="str">
        <f>MID(H51,2,3)</f>
        <v>ayu</v>
      </c>
    </row>
    <row r="52" spans="6:11" x14ac:dyDescent="0.35">
      <c r="H52" t="s">
        <v>13</v>
      </c>
      <c r="I52" t="str">
        <f>LEFT(H52,4)</f>
        <v>Avdh</v>
      </c>
      <c r="J52" t="str">
        <f>RIGHT(H52,4)</f>
        <v>hoot</v>
      </c>
      <c r="K52" t="e">
        <f>mi</f>
        <v>#NAME?</v>
      </c>
    </row>
    <row r="55" spans="6:11" x14ac:dyDescent="0.35">
      <c r="F55" t="s">
        <v>61</v>
      </c>
      <c r="G55" t="str">
        <f>MID(F55,6,7)</f>
        <v xml:space="preserve">python 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0"/>
  <sheetViews>
    <sheetView tabSelected="1" topLeftCell="A22" zoomScale="130" zoomScaleNormal="130" workbookViewId="0">
      <selection activeCell="A25" sqref="A25"/>
    </sheetView>
  </sheetViews>
  <sheetFormatPr defaultRowHeight="14.5" x14ac:dyDescent="0.35"/>
  <cols>
    <col min="1" max="1" width="18.26953125" customWidth="1"/>
    <col min="2" max="2" width="16.08984375" customWidth="1"/>
    <col min="3" max="3" width="15.7265625" bestFit="1" customWidth="1"/>
    <col min="6" max="6" width="10.453125" bestFit="1" customWidth="1"/>
    <col min="8" max="8" width="10.453125" bestFit="1" customWidth="1"/>
  </cols>
  <sheetData>
    <row r="2" spans="1:11" ht="15" thickBot="1" x14ac:dyDescent="0.4"/>
    <row r="3" spans="1:11" ht="15" thickBot="1" x14ac:dyDescent="0.4">
      <c r="D3" s="32" t="s">
        <v>1</v>
      </c>
      <c r="E3" s="32" t="s">
        <v>2</v>
      </c>
      <c r="F3" s="32" t="s">
        <v>3</v>
      </c>
      <c r="G3" s="32" t="s">
        <v>24</v>
      </c>
      <c r="H3" s="32" t="s">
        <v>5</v>
      </c>
      <c r="I3" s="60" t="s">
        <v>71</v>
      </c>
      <c r="J3" s="60" t="s">
        <v>72</v>
      </c>
    </row>
    <row r="4" spans="1:11" ht="15" thickBot="1" x14ac:dyDescent="0.4">
      <c r="D4" s="33" t="s">
        <v>6</v>
      </c>
      <c r="E4" s="33" t="s">
        <v>7</v>
      </c>
      <c r="F4" s="33">
        <v>40</v>
      </c>
      <c r="G4" s="33">
        <v>44</v>
      </c>
      <c r="H4" s="33">
        <v>46</v>
      </c>
      <c r="I4">
        <f>SUM(F4:H4)</f>
        <v>130</v>
      </c>
      <c r="J4" t="str">
        <f>IF(I4&gt;100,"Pass","Fail")</f>
        <v>Pass</v>
      </c>
    </row>
    <row r="5" spans="1:11" ht="15" thickBot="1" x14ac:dyDescent="0.4">
      <c r="D5" s="33" t="s">
        <v>19</v>
      </c>
      <c r="E5" s="33" t="s">
        <v>9</v>
      </c>
      <c r="F5" s="33">
        <v>34</v>
      </c>
      <c r="G5" s="33">
        <v>40</v>
      </c>
      <c r="H5" s="33">
        <v>35</v>
      </c>
      <c r="I5">
        <f t="shared" ref="I5:I11" si="0">SUM(F5:H5)</f>
        <v>109</v>
      </c>
      <c r="J5" t="s">
        <v>74</v>
      </c>
    </row>
    <row r="6" spans="1:11" ht="15" thickBot="1" x14ac:dyDescent="0.4">
      <c r="A6" t="s">
        <v>75</v>
      </c>
      <c r="D6" s="33" t="s">
        <v>10</v>
      </c>
      <c r="E6" s="33"/>
      <c r="F6" s="33"/>
      <c r="G6" s="33">
        <v>48</v>
      </c>
      <c r="H6" s="33">
        <v>43</v>
      </c>
      <c r="I6">
        <f t="shared" si="0"/>
        <v>91</v>
      </c>
      <c r="J6" t="str">
        <f t="shared" ref="J5:J11" si="1">IF(I6&gt;100,"Pass","Fail")</f>
        <v>Fail</v>
      </c>
    </row>
    <row r="7" spans="1:11" ht="15" thickBot="1" x14ac:dyDescent="0.4">
      <c r="A7" t="s">
        <v>76</v>
      </c>
      <c r="D7" s="33" t="s">
        <v>12</v>
      </c>
      <c r="E7" s="33"/>
      <c r="F7" s="33">
        <v>34</v>
      </c>
      <c r="G7" s="33">
        <v>47</v>
      </c>
      <c r="H7" s="33">
        <v>32</v>
      </c>
      <c r="I7">
        <f t="shared" si="0"/>
        <v>113</v>
      </c>
      <c r="J7" t="str">
        <f t="shared" si="1"/>
        <v>Pass</v>
      </c>
    </row>
    <row r="8" spans="1:11" ht="15" thickBot="1" x14ac:dyDescent="0.4">
      <c r="A8" t="s">
        <v>82</v>
      </c>
      <c r="D8" s="61" t="s">
        <v>13</v>
      </c>
      <c r="E8" s="61" t="s">
        <v>7</v>
      </c>
      <c r="F8" s="61">
        <v>33</v>
      </c>
      <c r="G8" s="61">
        <v>44</v>
      </c>
      <c r="H8" s="61">
        <v>50</v>
      </c>
      <c r="I8">
        <f t="shared" si="0"/>
        <v>127</v>
      </c>
      <c r="J8" t="str">
        <f t="shared" si="1"/>
        <v>Pass</v>
      </c>
    </row>
    <row r="9" spans="1:11" ht="15" thickBot="1" x14ac:dyDescent="0.4">
      <c r="A9" t="s">
        <v>83</v>
      </c>
      <c r="D9" s="62" t="s">
        <v>28</v>
      </c>
      <c r="E9" s="62" t="s">
        <v>29</v>
      </c>
      <c r="F9" s="62">
        <v>45</v>
      </c>
      <c r="G9" s="62">
        <v>43</v>
      </c>
      <c r="H9" s="62">
        <v>44</v>
      </c>
      <c r="I9">
        <f t="shared" si="0"/>
        <v>132</v>
      </c>
      <c r="J9" t="str">
        <f t="shared" si="1"/>
        <v>Pass</v>
      </c>
    </row>
    <row r="10" spans="1:11" ht="15" thickBot="1" x14ac:dyDescent="0.4">
      <c r="A10" t="s">
        <v>84</v>
      </c>
      <c r="D10" s="62" t="s">
        <v>30</v>
      </c>
      <c r="E10" s="62" t="s">
        <v>7</v>
      </c>
      <c r="F10" s="62">
        <v>44</v>
      </c>
      <c r="G10" s="62">
        <v>43</v>
      </c>
      <c r="H10" s="62">
        <v>42</v>
      </c>
      <c r="I10">
        <f t="shared" si="0"/>
        <v>129</v>
      </c>
      <c r="J10" t="str">
        <f t="shared" si="1"/>
        <v>Pass</v>
      </c>
    </row>
    <row r="11" spans="1:11" ht="15" thickBot="1" x14ac:dyDescent="0.4">
      <c r="A11" t="s">
        <v>85</v>
      </c>
      <c r="D11" s="62" t="s">
        <v>8</v>
      </c>
      <c r="E11" s="62" t="s">
        <v>11</v>
      </c>
      <c r="F11" s="62">
        <v>44</v>
      </c>
      <c r="G11" s="62">
        <v>23</v>
      </c>
      <c r="H11" s="62">
        <v>34</v>
      </c>
      <c r="I11">
        <f t="shared" si="0"/>
        <v>101</v>
      </c>
      <c r="J11" t="str">
        <f t="shared" si="1"/>
        <v>Pass</v>
      </c>
    </row>
    <row r="12" spans="1:11" x14ac:dyDescent="0.35">
      <c r="A12" t="s">
        <v>86</v>
      </c>
    </row>
    <row r="13" spans="1:11" x14ac:dyDescent="0.35">
      <c r="A13" t="s">
        <v>87</v>
      </c>
      <c r="H13" t="s">
        <v>73</v>
      </c>
      <c r="J13">
        <f>COUNTIF(J4:J11,"Pass")</f>
        <v>6</v>
      </c>
    </row>
    <row r="14" spans="1:11" x14ac:dyDescent="0.35">
      <c r="A14" t="s">
        <v>88</v>
      </c>
      <c r="J14">
        <f>COUNTIF(J4:J11,"Fail")</f>
        <v>2</v>
      </c>
    </row>
    <row r="15" spans="1:11" ht="15" thickBot="1" x14ac:dyDescent="0.4">
      <c r="A15" t="s">
        <v>89</v>
      </c>
    </row>
    <row r="16" spans="1:11" ht="15" thickBot="1" x14ac:dyDescent="0.4">
      <c r="A16" t="s">
        <v>90</v>
      </c>
      <c r="D16" s="32" t="s">
        <v>1</v>
      </c>
      <c r="E16" s="32" t="s">
        <v>2</v>
      </c>
      <c r="F16" s="32" t="s">
        <v>3</v>
      </c>
      <c r="G16" s="32" t="s">
        <v>24</v>
      </c>
      <c r="H16" s="32" t="s">
        <v>5</v>
      </c>
      <c r="I16" s="60" t="s">
        <v>77</v>
      </c>
      <c r="J16" s="60" t="s">
        <v>78</v>
      </c>
      <c r="K16" s="60" t="s">
        <v>79</v>
      </c>
    </row>
    <row r="17" spans="1:12" ht="15" thickBot="1" x14ac:dyDescent="0.4">
      <c r="A17" t="s">
        <v>91</v>
      </c>
      <c r="D17" s="33" t="s">
        <v>6</v>
      </c>
      <c r="E17" s="33" t="s">
        <v>7</v>
      </c>
      <c r="F17" s="33">
        <v>40</v>
      </c>
      <c r="G17" s="33">
        <v>44</v>
      </c>
      <c r="H17" s="33">
        <v>46</v>
      </c>
      <c r="I17" t="b">
        <f>AND(F17&gt;40,G17&gt;40,H17&gt;40)</f>
        <v>0</v>
      </c>
      <c r="J17" t="b">
        <f>OR(F17&gt;40,G17&gt;40,H17&gt;40)</f>
        <v>1</v>
      </c>
      <c r="K17" t="b">
        <f>NOT(J17)</f>
        <v>0</v>
      </c>
      <c r="L17" t="b">
        <f>OR(F17&gt;40,G17&gt;40,H17&gt;40)</f>
        <v>1</v>
      </c>
    </row>
    <row r="18" spans="1:12" ht="15" thickBot="1" x14ac:dyDescent="0.4">
      <c r="A18" t="s">
        <v>93</v>
      </c>
      <c r="D18" s="33" t="s">
        <v>19</v>
      </c>
      <c r="E18" s="33" t="s">
        <v>9</v>
      </c>
      <c r="F18" s="33">
        <v>34</v>
      </c>
      <c r="G18" s="33">
        <v>40</v>
      </c>
      <c r="H18" s="33">
        <v>35</v>
      </c>
      <c r="I18" t="b">
        <f>AND(F18&gt;40,G18&gt;40,H18&gt;40)</f>
        <v>0</v>
      </c>
      <c r="J18" t="b">
        <f t="shared" ref="J18:J24" si="2">OR(F18&gt;40,G18&gt;40,H18&gt;40)</f>
        <v>0</v>
      </c>
      <c r="K18" t="b">
        <f>NOT(F18&gt;30)</f>
        <v>0</v>
      </c>
    </row>
    <row r="19" spans="1:12" ht="15" thickBot="1" x14ac:dyDescent="0.4">
      <c r="A19" t="s">
        <v>94</v>
      </c>
      <c r="D19" s="33" t="s">
        <v>10</v>
      </c>
      <c r="E19" s="33"/>
      <c r="F19" s="33"/>
      <c r="G19" s="33">
        <v>48</v>
      </c>
      <c r="H19" s="33">
        <v>43</v>
      </c>
      <c r="I19" t="b">
        <f t="shared" ref="I19:I24" si="3">AND(F19&gt;40,G19&gt;40,H19&gt;40)</f>
        <v>0</v>
      </c>
      <c r="J19" t="b">
        <f t="shared" si="2"/>
        <v>1</v>
      </c>
      <c r="K19" t="b">
        <f>NOT(J19)</f>
        <v>0</v>
      </c>
    </row>
    <row r="20" spans="1:12" ht="15" thickBot="1" x14ac:dyDescent="0.4">
      <c r="A20" t="s">
        <v>95</v>
      </c>
      <c r="D20" s="33" t="s">
        <v>12</v>
      </c>
      <c r="E20" s="33"/>
      <c r="F20" s="33">
        <v>34</v>
      </c>
      <c r="G20" s="33">
        <v>47</v>
      </c>
      <c r="H20" s="33">
        <v>32</v>
      </c>
      <c r="I20" t="b">
        <f t="shared" si="3"/>
        <v>0</v>
      </c>
      <c r="J20" t="b">
        <f t="shared" si="2"/>
        <v>1</v>
      </c>
      <c r="K20" t="b">
        <f t="shared" ref="K20:K24" si="4">NOT(J20)</f>
        <v>0</v>
      </c>
    </row>
    <row r="21" spans="1:12" ht="15" thickBot="1" x14ac:dyDescent="0.4">
      <c r="A21" t="s">
        <v>96</v>
      </c>
      <c r="D21" s="61" t="s">
        <v>13</v>
      </c>
      <c r="E21" s="61" t="s">
        <v>7</v>
      </c>
      <c r="F21" s="61">
        <v>33</v>
      </c>
      <c r="G21" s="61">
        <v>44</v>
      </c>
      <c r="H21" s="61">
        <v>50</v>
      </c>
      <c r="I21" t="b">
        <f t="shared" si="3"/>
        <v>0</v>
      </c>
      <c r="J21" t="b">
        <f t="shared" si="2"/>
        <v>1</v>
      </c>
      <c r="K21" t="b">
        <f t="shared" si="4"/>
        <v>0</v>
      </c>
    </row>
    <row r="22" spans="1:12" ht="15" thickBot="1" x14ac:dyDescent="0.4">
      <c r="A22" t="s">
        <v>97</v>
      </c>
      <c r="D22" s="62" t="s">
        <v>28</v>
      </c>
      <c r="E22" s="62" t="s">
        <v>29</v>
      </c>
      <c r="F22" s="62">
        <v>45</v>
      </c>
      <c r="G22" s="62">
        <v>43</v>
      </c>
      <c r="H22" s="62">
        <v>44</v>
      </c>
      <c r="I22" t="b">
        <f t="shared" si="3"/>
        <v>1</v>
      </c>
      <c r="J22" t="b">
        <f t="shared" si="2"/>
        <v>1</v>
      </c>
      <c r="K22" t="b">
        <f t="shared" si="4"/>
        <v>0</v>
      </c>
    </row>
    <row r="23" spans="1:12" ht="15" thickBot="1" x14ac:dyDescent="0.4">
      <c r="A23" t="s">
        <v>98</v>
      </c>
      <c r="D23" s="62" t="s">
        <v>30</v>
      </c>
      <c r="E23" s="62" t="s">
        <v>7</v>
      </c>
      <c r="F23" s="62">
        <v>44</v>
      </c>
      <c r="G23" s="62">
        <v>43</v>
      </c>
      <c r="H23" s="62">
        <v>42</v>
      </c>
      <c r="I23" t="b">
        <f t="shared" si="3"/>
        <v>1</v>
      </c>
      <c r="J23" t="b">
        <f t="shared" si="2"/>
        <v>1</v>
      </c>
      <c r="K23" t="b">
        <f t="shared" si="4"/>
        <v>0</v>
      </c>
    </row>
    <row r="24" spans="1:12" ht="15" thickBot="1" x14ac:dyDescent="0.4">
      <c r="A24" t="s">
        <v>99</v>
      </c>
      <c r="D24" s="62" t="s">
        <v>8</v>
      </c>
      <c r="E24" s="62" t="s">
        <v>11</v>
      </c>
      <c r="F24" s="62">
        <v>44</v>
      </c>
      <c r="G24" s="62">
        <v>23</v>
      </c>
      <c r="H24" s="62">
        <v>34</v>
      </c>
      <c r="I24" t="b">
        <f t="shared" si="3"/>
        <v>0</v>
      </c>
      <c r="J24" t="b">
        <f t="shared" si="2"/>
        <v>1</v>
      </c>
      <c r="K24" t="b">
        <f t="shared" si="4"/>
        <v>0</v>
      </c>
    </row>
    <row r="25" spans="1:12" x14ac:dyDescent="0.35">
      <c r="A25" t="s">
        <v>100</v>
      </c>
      <c r="G25">
        <f>MAX(G17:G24)</f>
        <v>48</v>
      </c>
    </row>
    <row r="26" spans="1:12" x14ac:dyDescent="0.35">
      <c r="A26" t="s">
        <v>101</v>
      </c>
      <c r="B26" t="s">
        <v>80</v>
      </c>
      <c r="C26" s="63">
        <f ca="1">TODAY()</f>
        <v>46121</v>
      </c>
      <c r="G26">
        <f>MIN(G17:G24)</f>
        <v>23</v>
      </c>
    </row>
    <row r="27" spans="1:12" x14ac:dyDescent="0.35">
      <c r="A27" t="s">
        <v>102</v>
      </c>
    </row>
    <row r="28" spans="1:12" x14ac:dyDescent="0.35">
      <c r="A28" t="s">
        <v>103</v>
      </c>
      <c r="B28" t="s">
        <v>81</v>
      </c>
      <c r="C28" s="64">
        <f ca="1">NOW()</f>
        <v>46121.474088194445</v>
      </c>
      <c r="H28" s="63">
        <f ca="1">TODAY()+90</f>
        <v>46211</v>
      </c>
      <c r="J28">
        <f>COUNTIFS(J17:J24,"True",K17:K24,"False")</f>
        <v>7</v>
      </c>
    </row>
    <row r="29" spans="1:12" x14ac:dyDescent="0.35">
      <c r="A29" t="s">
        <v>104</v>
      </c>
      <c r="J29">
        <f>COUNTIFS(G17:G24,44,H17:H24,50)</f>
        <v>1</v>
      </c>
    </row>
    <row r="30" spans="1:12" x14ac:dyDescent="0.35">
      <c r="A30" t="s">
        <v>105</v>
      </c>
      <c r="C30" s="63">
        <f ca="1">TODAY()+1</f>
        <v>46122</v>
      </c>
      <c r="F30" s="63">
        <f ca="1">TODAY()-1</f>
        <v>46120</v>
      </c>
    </row>
    <row r="31" spans="1:12" x14ac:dyDescent="0.35">
      <c r="A31" t="s">
        <v>106</v>
      </c>
      <c r="C31" s="63">
        <f ca="1">TODAY()-5</f>
        <v>46116</v>
      </c>
    </row>
    <row r="32" spans="1:12" x14ac:dyDescent="0.35">
      <c r="A32" t="s">
        <v>107</v>
      </c>
      <c r="E32">
        <f>LARGE(G17:G24,2)</f>
        <v>47</v>
      </c>
      <c r="H32">
        <f ca="1">DAY(H28)</f>
        <v>8</v>
      </c>
    </row>
    <row r="33" spans="1:9" x14ac:dyDescent="0.35">
      <c r="A33" t="s">
        <v>108</v>
      </c>
      <c r="H33">
        <f ca="1">MONTH(H28)</f>
        <v>7</v>
      </c>
    </row>
    <row r="34" spans="1:9" ht="15" thickBot="1" x14ac:dyDescent="0.4">
      <c r="A34" t="s">
        <v>109</v>
      </c>
      <c r="H34">
        <f ca="1">YEAR(H28)</f>
        <v>2026</v>
      </c>
    </row>
    <row r="35" spans="1:9" ht="15" thickBot="1" x14ac:dyDescent="0.4">
      <c r="A35" t="s">
        <v>110</v>
      </c>
      <c r="C35" s="32" t="s">
        <v>5</v>
      </c>
      <c r="F35" s="32" t="s">
        <v>2</v>
      </c>
    </row>
    <row r="36" spans="1:9" ht="15" thickBot="1" x14ac:dyDescent="0.4">
      <c r="C36" s="33">
        <v>32</v>
      </c>
      <c r="D36" t="b">
        <f>ISEVEN(C36)</f>
        <v>1</v>
      </c>
      <c r="E36" t="b">
        <f>ISODD(C36)</f>
        <v>0</v>
      </c>
      <c r="F36" s="33" t="s">
        <v>7</v>
      </c>
      <c r="G36" t="b">
        <f>ISTEXT(F36)</f>
        <v>1</v>
      </c>
      <c r="H36" t="b">
        <f>ISNUMBER(C36)</f>
        <v>1</v>
      </c>
      <c r="I36" t="b">
        <f>ISBLANK(C36)</f>
        <v>0</v>
      </c>
    </row>
    <row r="37" spans="1:9" ht="15" thickBot="1" x14ac:dyDescent="0.4">
      <c r="B37">
        <f>_xlfn.VAR.P(C36:C43)</f>
        <v>37.888888888888886</v>
      </c>
      <c r="C37" s="62"/>
      <c r="D37" t="b">
        <f t="shared" ref="D37:D43" si="5">ISEVEN(C37)</f>
        <v>1</v>
      </c>
      <c r="E37" t="b">
        <f t="shared" ref="E37:E43" si="6">ISODD(C37)</f>
        <v>0</v>
      </c>
      <c r="F37" s="33" t="s">
        <v>9</v>
      </c>
      <c r="G37" t="b">
        <f t="shared" ref="G37:G43" si="7">ISTEXT(F37)</f>
        <v>1</v>
      </c>
      <c r="H37" t="b">
        <f t="shared" ref="H37:H43" si="8">ISNUMBER(C37)</f>
        <v>0</v>
      </c>
      <c r="I37" t="b">
        <f t="shared" ref="I37:I43" si="9">ISBLANK(C37)</f>
        <v>1</v>
      </c>
    </row>
    <row r="38" spans="1:9" ht="15" thickBot="1" x14ac:dyDescent="0.4">
      <c r="B38">
        <f>_xlfn.STDEV.P(C36:C43)</f>
        <v>6.1553951042064625</v>
      </c>
      <c r="C38" s="33">
        <v>35</v>
      </c>
      <c r="D38" t="b">
        <f t="shared" si="5"/>
        <v>0</v>
      </c>
      <c r="E38" t="b">
        <f t="shared" si="6"/>
        <v>1</v>
      </c>
      <c r="F38" s="33"/>
      <c r="G38" t="b">
        <f t="shared" si="7"/>
        <v>0</v>
      </c>
      <c r="H38" t="b">
        <f t="shared" si="8"/>
        <v>1</v>
      </c>
      <c r="I38" t="b">
        <f t="shared" si="9"/>
        <v>0</v>
      </c>
    </row>
    <row r="39" spans="1:9" ht="15" thickBot="1" x14ac:dyDescent="0.4">
      <c r="B39">
        <f>CORREL(C36:C43,C36:C43)</f>
        <v>1.0000000000000002</v>
      </c>
      <c r="C39" s="62">
        <v>42</v>
      </c>
      <c r="D39" t="b">
        <f t="shared" si="5"/>
        <v>1</v>
      </c>
      <c r="E39" t="b">
        <f t="shared" si="6"/>
        <v>0</v>
      </c>
      <c r="F39" s="33"/>
      <c r="G39" t="b">
        <f t="shared" si="7"/>
        <v>0</v>
      </c>
      <c r="H39" t="b">
        <f t="shared" si="8"/>
        <v>1</v>
      </c>
      <c r="I39" t="b">
        <f t="shared" si="9"/>
        <v>0</v>
      </c>
    </row>
    <row r="40" spans="1:9" ht="15" thickBot="1" x14ac:dyDescent="0.4">
      <c r="C40" s="61">
        <v>43</v>
      </c>
      <c r="D40" t="b">
        <f t="shared" si="5"/>
        <v>0</v>
      </c>
      <c r="E40" t="b">
        <f t="shared" si="6"/>
        <v>1</v>
      </c>
      <c r="F40" s="61" t="s">
        <v>7</v>
      </c>
      <c r="G40" t="b">
        <f t="shared" si="7"/>
        <v>1</v>
      </c>
      <c r="H40" t="b">
        <f t="shared" si="8"/>
        <v>1</v>
      </c>
      <c r="I40" t="b">
        <f t="shared" si="9"/>
        <v>0</v>
      </c>
    </row>
    <row r="41" spans="1:9" ht="15" thickBot="1" x14ac:dyDescent="0.4">
      <c r="C41" s="62"/>
      <c r="D41" t="b">
        <f t="shared" si="5"/>
        <v>1</v>
      </c>
      <c r="E41" t="b">
        <f t="shared" si="6"/>
        <v>0</v>
      </c>
      <c r="F41" s="62" t="s">
        <v>29</v>
      </c>
      <c r="G41" t="b">
        <f t="shared" si="7"/>
        <v>1</v>
      </c>
      <c r="H41" t="b">
        <f t="shared" si="8"/>
        <v>0</v>
      </c>
      <c r="I41" t="b">
        <f t="shared" si="9"/>
        <v>1</v>
      </c>
    </row>
    <row r="42" spans="1:9" ht="15" thickBot="1" x14ac:dyDescent="0.4">
      <c r="C42" s="33">
        <v>46</v>
      </c>
      <c r="D42" t="b">
        <f t="shared" si="5"/>
        <v>1</v>
      </c>
      <c r="E42" t="b">
        <f t="shared" si="6"/>
        <v>0</v>
      </c>
      <c r="F42" s="62" t="s">
        <v>7</v>
      </c>
      <c r="G42" t="b">
        <f t="shared" si="7"/>
        <v>1</v>
      </c>
      <c r="H42" t="b">
        <f t="shared" si="8"/>
        <v>1</v>
      </c>
      <c r="I42" t="b">
        <f t="shared" si="9"/>
        <v>0</v>
      </c>
    </row>
    <row r="43" spans="1:9" ht="15" thickBot="1" x14ac:dyDescent="0.4">
      <c r="C43" s="33">
        <v>50</v>
      </c>
      <c r="D43" t="b">
        <f t="shared" si="5"/>
        <v>1</v>
      </c>
      <c r="E43" t="b">
        <f t="shared" si="6"/>
        <v>0</v>
      </c>
      <c r="F43" s="62" t="s">
        <v>11</v>
      </c>
      <c r="G43" t="b">
        <f t="shared" si="7"/>
        <v>1</v>
      </c>
      <c r="H43" t="b">
        <f t="shared" si="8"/>
        <v>1</v>
      </c>
      <c r="I43" t="b">
        <f t="shared" si="9"/>
        <v>0</v>
      </c>
    </row>
    <row r="45" spans="1:9" x14ac:dyDescent="0.35">
      <c r="B45" t="s">
        <v>92</v>
      </c>
      <c r="C45">
        <f>LARGE(C36:C43,2)</f>
        <v>46</v>
      </c>
    </row>
    <row r="46" spans="1:9" x14ac:dyDescent="0.35">
      <c r="C46">
        <f>SMALL(C36:C44,3)</f>
        <v>42</v>
      </c>
    </row>
    <row r="48" spans="1:9" x14ac:dyDescent="0.35">
      <c r="D48">
        <v>1</v>
      </c>
      <c r="E48">
        <v>1</v>
      </c>
      <c r="F48">
        <v>2</v>
      </c>
      <c r="G48">
        <v>2</v>
      </c>
      <c r="H48">
        <v>2</v>
      </c>
      <c r="I48">
        <v>3</v>
      </c>
    </row>
    <row r="50" spans="3:8" x14ac:dyDescent="0.35">
      <c r="D50">
        <f>MODE(D48:I48)</f>
        <v>2</v>
      </c>
    </row>
    <row r="51" spans="3:8" ht="15" thickBot="1" x14ac:dyDescent="0.4"/>
    <row r="52" spans="3:8" ht="15" thickBot="1" x14ac:dyDescent="0.4">
      <c r="C52">
        <v>50</v>
      </c>
      <c r="F52" s="32" t="s">
        <v>5</v>
      </c>
      <c r="H52">
        <f>SUBTOTAL(1,F53:F60)</f>
        <v>41.333333333333336</v>
      </c>
    </row>
    <row r="53" spans="3:8" ht="15" thickBot="1" x14ac:dyDescent="0.4">
      <c r="C53">
        <v>6</v>
      </c>
      <c r="F53" s="33">
        <v>32</v>
      </c>
      <c r="H53">
        <f>SUBTOTAL(2,F53:F60)</f>
        <v>6</v>
      </c>
    </row>
    <row r="54" spans="3:8" ht="15" thickBot="1" x14ac:dyDescent="0.4">
      <c r="F54" s="62"/>
      <c r="H54">
        <f>SUBTOTAL(4,F53:F60)</f>
        <v>50</v>
      </c>
    </row>
    <row r="55" spans="3:8" ht="15" thickBot="1" x14ac:dyDescent="0.4">
      <c r="C55">
        <f>MOD(C52,C53)</f>
        <v>2</v>
      </c>
      <c r="F55" s="33">
        <v>35</v>
      </c>
    </row>
    <row r="56" spans="3:8" ht="15" thickBot="1" x14ac:dyDescent="0.4">
      <c r="F56" s="62">
        <v>42</v>
      </c>
    </row>
    <row r="57" spans="3:8" ht="15" thickBot="1" x14ac:dyDescent="0.4">
      <c r="F57" s="61">
        <v>43</v>
      </c>
    </row>
    <row r="58" spans="3:8" ht="15" thickBot="1" x14ac:dyDescent="0.4">
      <c r="F58" s="62"/>
    </row>
    <row r="59" spans="3:8" ht="15" thickBot="1" x14ac:dyDescent="0.4">
      <c r="F59" s="33">
        <v>46</v>
      </c>
    </row>
    <row r="60" spans="3:8" ht="15" thickBot="1" x14ac:dyDescent="0.4">
      <c r="F60" s="33">
        <v>50</v>
      </c>
    </row>
  </sheetData>
  <autoFilter ref="C35:C43">
    <sortState ref="C36:C43">
      <sortCondition ref="C35:C43"/>
    </sortState>
  </autoFilter>
  <conditionalFormatting sqref="J3:J11">
    <cfRule type="containsText" dxfId="1" priority="2" operator="containsText" text="Fail">
      <formula>NOT(ISERROR(SEARCH("Fail",J3)))</formula>
    </cfRule>
  </conditionalFormatting>
  <conditionalFormatting sqref="J4:J11">
    <cfRule type="containsText" dxfId="0" priority="1" operator="containsText" text="Pass">
      <formula>NOT(ISERROR(SEARCH("Pass",J4)))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Day 1 basic</vt:lpstr>
      <vt:lpstr>Day 2 conditional formating</vt:lpstr>
      <vt:lpstr>Day 2 charts in excel</vt:lpstr>
      <vt:lpstr>Day 3 Charts Formating</vt:lpstr>
      <vt:lpstr>Sheet5</vt:lpstr>
      <vt:lpstr>Sheet6</vt:lpstr>
      <vt:lpstr>Sheet7 (2)</vt:lpstr>
      <vt:lpstr>Sheet7 (3)</vt:lpstr>
      <vt:lpstr>Sheet7</vt:lpstr>
      <vt:lpstr>Sheet10</vt:lpstr>
      <vt:lpstr>Day 4 Excel Formulas</vt:lpstr>
      <vt:lpstr>Day 5 (Excel Formulas)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2026-04-03T04:22:42Z</dcterms:created>
  <dcterms:modified xsi:type="dcterms:W3CDTF">2026-04-09T05:52:41Z</dcterms:modified>
</cp:coreProperties>
</file>